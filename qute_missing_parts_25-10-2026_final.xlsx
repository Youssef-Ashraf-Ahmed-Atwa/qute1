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r 1 - 00569" sheetId="2" state="visible" r:id="rId2"/>
    <sheet xmlns:r="http://schemas.openxmlformats.org/officeDocument/2006/relationships" name="Car 2 - 01124" sheetId="3" state="visible" r:id="rId3"/>
    <sheet xmlns:r="http://schemas.openxmlformats.org/officeDocument/2006/relationships" name="Car 3 - 00133" sheetId="4" state="visible" r:id="rId4"/>
    <sheet xmlns:r="http://schemas.openxmlformats.org/officeDocument/2006/relationships" name="Car 4 - 00679" sheetId="5" state="visible" r:id="rId5"/>
    <sheet xmlns:r="http://schemas.openxmlformats.org/officeDocument/2006/relationships" name="Car 5 - 00557" sheetId="6" state="visible" r:id="rId6"/>
    <sheet xmlns:r="http://schemas.openxmlformats.org/officeDocument/2006/relationships" name="Car 6 - 00663" sheetId="7" state="visible" r:id="rId7"/>
    <sheet xmlns:r="http://schemas.openxmlformats.org/officeDocument/2006/relationships" name="Car 7 - 00680" sheetId="8" state="visible" r:id="rId8"/>
    <sheet xmlns:r="http://schemas.openxmlformats.org/officeDocument/2006/relationships" name="Car 8 - 00523" sheetId="9" state="visible" r:id="rId9"/>
    <sheet xmlns:r="http://schemas.openxmlformats.org/officeDocument/2006/relationships" name="Car 9 - 00097" sheetId="10" state="visible" r:id="rId10"/>
    <sheet xmlns:r="http://schemas.openxmlformats.org/officeDocument/2006/relationships" name="Car 10 - 01352" sheetId="11" state="visible" r:id="rId1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color rgb="FF0563C1"/>
      <sz val="11"/>
      <u val="single"/>
    </font>
    <font>
      <name val="Arial"/>
      <charset val="1"/>
      <sz val="11"/>
    </font>
    <font>
      <name val="Arial"/>
      <charset val="1"/>
      <b val="1"/>
      <sz val="11"/>
    </font>
    <font>
      <name val="FreeSans"/>
      <charset val="1"/>
      <family val="2"/>
      <color theme="1"/>
      <sz val="11"/>
    </font>
    <font>
      <name val="Arial"/>
      <charset val="1"/>
      <b val="1"/>
      <sz val="12"/>
    </font>
    <font>
      <name val="Calibri"/>
      <charset val="1"/>
      <family val="2"/>
      <sz val="11"/>
    </font>
    <font>
      <name val="FreeSans"/>
      <family val="2"/>
      <sz val="11"/>
    </font>
    <font>
      <name val="Arial"/>
      <charset val="1"/>
      <family val="2"/>
      <color theme="1"/>
      <sz val="10"/>
    </font>
    <font>
      <name val="Arial"/>
      <charset val="1"/>
      <family val="2"/>
      <sz val="11"/>
    </font>
    <font>
      <name val="FreeSans"/>
      <family val="2"/>
      <sz val="10"/>
    </font>
    <font>
      <name val="Arial"/>
      <family val="2"/>
      <sz val="10"/>
    </font>
    <font>
      <name val="FreeSans"/>
      <family val="2"/>
      <color theme="1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0"/>
    </font>
    <font>
      <name val="Arial"/>
      <b val="1"/>
      <color rgb="FFFFFFFF"/>
      <sz val="11"/>
    </font>
    <font>
      <name val="Arial"/>
      <color theme="1"/>
      <sz val="11"/>
    </font>
    <font>
      <name val="Arial"/>
      <color rgb="FF0563C1"/>
      <sz val="11"/>
    </font>
    <font>
      <name val="Arial"/>
      <sz val="11"/>
    </font>
    <font>
      <name val="Arial"/>
      <b val="1"/>
      <sz val="11"/>
    </font>
  </fonts>
  <fills count="2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6E0B4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D9E1F2"/>
      </patternFill>
    </fill>
    <fill>
      <patternFill patternType="solid">
        <fgColor rgb="FFF4B084"/>
        <b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7CE"/>
      </patternFill>
    </fill>
    <fill>
      <patternFill patternType="solid">
        <fgColor rgb="FFFFFF00"/>
        <bgColor rgb="FFFFC7CE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FC7CE"/>
      </patternFill>
    </fill>
    <fill>
      <patternFill patternType="solid">
        <fgColor rgb="FFFF0000"/>
        <bgColor rgb="FFD9E1F2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20" fillId="0" borderId="0"/>
  </cellStyleXfs>
  <cellXfs count="1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6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9" fillId="0" borderId="0" pivotButton="0" quotePrefix="0" xfId="0"/>
    <xf numFmtId="0" fontId="10" fillId="5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right" vertical="center" wrapText="1"/>
    </xf>
    <xf numFmtId="0" fontId="0" fillId="6" borderId="0" pivotButton="0" quotePrefix="0" xfId="0"/>
    <xf numFmtId="0" fontId="0" fillId="0" borderId="0" pivotButton="0" quotePrefix="0" xfId="0"/>
    <xf numFmtId="0" fontId="0" fillId="7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/>
    </xf>
    <xf numFmtId="0" fontId="10" fillId="3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0" fillId="5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right" vertical="center" wrapText="1"/>
    </xf>
    <xf numFmtId="0" fontId="10" fillId="0" borderId="4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horizontal="right" vertical="center" wrapText="1"/>
    </xf>
    <xf numFmtId="0" fontId="15" fillId="5" borderId="1" applyAlignment="1" pivotButton="0" quotePrefix="0" xfId="0">
      <alignment horizontal="right" vertical="center" wrapText="1"/>
    </xf>
    <xf numFmtId="0" fontId="15" fillId="0" borderId="2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10" fillId="9" borderId="1" applyAlignment="1" pivotButton="0" quotePrefix="0" xfId="0">
      <alignment horizontal="right" vertical="center" wrapText="1"/>
    </xf>
    <xf numFmtId="0" fontId="3" fillId="9" borderId="1" applyAlignment="1" pivotButton="0" quotePrefix="0" xfId="0">
      <alignment horizontal="right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0" fillId="10" borderId="0" pivotButton="0" quotePrefix="0" xfId="0"/>
    <xf numFmtId="0" fontId="7" fillId="11" borderId="2" applyAlignment="1" pivotButton="0" quotePrefix="0" xfId="0">
      <alignment horizontal="center" vertical="center"/>
    </xf>
    <xf numFmtId="0" fontId="0" fillId="11" borderId="0" pivotButton="0" quotePrefix="0" xfId="0"/>
    <xf numFmtId="0" fontId="10" fillId="11" borderId="0" applyAlignment="1" pivotButton="0" quotePrefix="0" xfId="0">
      <alignment horizontal="right" vertical="center" wrapText="1"/>
    </xf>
    <xf numFmtId="0" fontId="7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8" fillId="11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right" vertical="center" wrapText="1"/>
    </xf>
    <xf numFmtId="0" fontId="10" fillId="13" borderId="1" applyAlignment="1" pivotButton="0" quotePrefix="0" xfId="0">
      <alignment horizontal="center" vertical="center" wrapText="1"/>
    </xf>
    <xf numFmtId="0" fontId="9" fillId="12" borderId="5" applyAlignment="1" pivotButton="0" quotePrefix="0" xfId="0">
      <alignment vertical="center" wrapText="1"/>
    </xf>
    <xf numFmtId="0" fontId="15" fillId="3" borderId="1" applyAlignment="1" pivotButton="0" quotePrefix="0" xfId="0">
      <alignment horizontal="right" vertical="center" wrapText="1"/>
    </xf>
    <xf numFmtId="0" fontId="10" fillId="13" borderId="1" applyAlignment="1" pivotButton="0" quotePrefix="0" xfId="0">
      <alignment horizontal="right" vertical="center" wrapText="1"/>
    </xf>
    <xf numFmtId="0" fontId="3" fillId="13" borderId="1" applyAlignment="1" pivotButton="0" quotePrefix="0" xfId="0">
      <alignment horizontal="right" vertical="center" wrapText="1"/>
    </xf>
    <xf numFmtId="0" fontId="3" fillId="13" borderId="1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0" fontId="16" fillId="0" borderId="0" pivotButton="0" quotePrefix="0" xfId="0"/>
    <xf numFmtId="0" fontId="3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right" vertical="center" wrapText="1"/>
    </xf>
    <xf numFmtId="0" fontId="0" fillId="15" borderId="0" pivotButton="0" quotePrefix="0" xfId="0"/>
    <xf numFmtId="0" fontId="15" fillId="0" borderId="4" applyAlignment="1" pivotButton="0" quotePrefix="0" xfId="0">
      <alignment horizontal="right" vertical="center" wrapText="1"/>
    </xf>
    <xf numFmtId="0" fontId="3" fillId="16" borderId="1" applyAlignment="1" pivotButton="0" quotePrefix="0" xfId="0">
      <alignment horizontal="right" vertical="center" wrapText="1"/>
    </xf>
    <xf numFmtId="0" fontId="10" fillId="17" borderId="1" applyAlignment="1" pivotButton="0" quotePrefix="0" xfId="0">
      <alignment horizontal="right" vertical="center" wrapText="1"/>
    </xf>
    <xf numFmtId="0" fontId="3" fillId="16" borderId="1" applyAlignment="1" pivotButton="0" quotePrefix="0" xfId="0">
      <alignment horizontal="center" vertical="center" wrapText="1"/>
    </xf>
    <xf numFmtId="0" fontId="0" fillId="18" borderId="0" pivotButton="0" quotePrefix="0" xfId="0"/>
    <xf numFmtId="0" fontId="3" fillId="18" borderId="1" applyAlignment="1" pivotButton="0" quotePrefix="0" xfId="0">
      <alignment horizontal="right" vertical="center" wrapText="1"/>
    </xf>
    <xf numFmtId="0" fontId="3" fillId="18" borderId="1" applyAlignment="1" pivotButton="0" quotePrefix="0" xfId="0">
      <alignment horizontal="center" vertical="center" wrapText="1"/>
    </xf>
    <xf numFmtId="0" fontId="0" fillId="16" borderId="0" pivotButton="0" quotePrefix="0" xfId="0"/>
    <xf numFmtId="0" fontId="10" fillId="18" borderId="1" applyAlignment="1" pivotButton="0" quotePrefix="0" xfId="0">
      <alignment horizontal="right" vertical="center" wrapText="1"/>
    </xf>
    <xf numFmtId="0" fontId="14" fillId="4" borderId="6" applyAlignment="1" pivotButton="0" quotePrefix="0" xfId="0">
      <alignment horizontal="right" vertical="center" wrapText="1"/>
    </xf>
    <xf numFmtId="0" fontId="15" fillId="0" borderId="6" applyAlignment="1" pivotButton="0" quotePrefix="0" xfId="0">
      <alignment horizontal="right" vertical="center" wrapText="1"/>
    </xf>
    <xf numFmtId="0" fontId="3" fillId="11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15" fillId="11" borderId="1" applyAlignment="1" pivotButton="0" quotePrefix="0" xfId="0">
      <alignment horizontal="right" vertical="center" wrapText="1"/>
    </xf>
    <xf numFmtId="0" fontId="3" fillId="19" borderId="1" applyAlignment="1" pivotButton="0" quotePrefix="0" xfId="0">
      <alignment horizontal="center" vertical="top" wrapText="1"/>
    </xf>
    <xf numFmtId="0" fontId="3" fillId="19" borderId="1" applyAlignment="1" pivotButton="0" quotePrefix="0" xfId="0">
      <alignment horizontal="right" vertical="center" wrapText="1"/>
    </xf>
    <xf numFmtId="0" fontId="10" fillId="19" borderId="1" applyAlignment="1" pivotButton="0" quotePrefix="0" xfId="0">
      <alignment horizontal="right" vertical="center" wrapText="1"/>
    </xf>
    <xf numFmtId="0" fontId="3" fillId="20" borderId="1" applyAlignment="1" pivotButton="0" quotePrefix="0" xfId="0">
      <alignment horizontal="right" vertical="center" wrapText="1"/>
    </xf>
    <xf numFmtId="0" fontId="7" fillId="19" borderId="2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0" fontId="7" fillId="21" borderId="0" applyAlignment="1" pivotButton="0" quotePrefix="0" xfId="0">
      <alignment horizontal="center" vertical="center"/>
    </xf>
    <xf numFmtId="0" fontId="0" fillId="19" borderId="0" pivotButton="0" quotePrefix="0" xfId="0"/>
    <xf numFmtId="0" fontId="10" fillId="20" borderId="1" applyAlignment="1" pivotButton="0" quotePrefix="0" xfId="0">
      <alignment horizontal="right" vertical="center" wrapText="1"/>
    </xf>
    <xf numFmtId="0" fontId="7" fillId="21" borderId="2" applyAlignment="1" pivotButton="0" quotePrefix="0" xfId="0">
      <alignment horizontal="center" vertical="center"/>
    </xf>
    <xf numFmtId="0" fontId="3" fillId="21" borderId="1" applyAlignment="1" pivotButton="0" quotePrefix="0" xfId="0">
      <alignment horizontal="right" vertical="center" wrapText="1"/>
    </xf>
    <xf numFmtId="0" fontId="3" fillId="21" borderId="0" applyAlignment="1" pivotButton="0" quotePrefix="0" xfId="0">
      <alignment horizontal="right" vertical="center" wrapText="1"/>
    </xf>
    <xf numFmtId="0" fontId="9" fillId="21" borderId="3" applyAlignment="1" pivotButton="0" quotePrefix="0" xfId="0">
      <alignment vertical="center" wrapText="1"/>
    </xf>
    <xf numFmtId="0" fontId="17" fillId="2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0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center" wrapText="1"/>
    </xf>
    <xf numFmtId="0" fontId="21" fillId="4" borderId="6" applyAlignment="1" pivotButton="0" quotePrefix="0" xfId="0">
      <alignment horizontal="left" vertical="center" wrapText="1"/>
    </xf>
    <xf numFmtId="0" fontId="20" fillId="0" borderId="6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20" fillId="19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18" fillId="8" borderId="0" applyAlignment="1" pivotButton="0" quotePrefix="0" xfId="0">
      <alignment vertical="center"/>
    </xf>
    <xf numFmtId="0" fontId="20" fillId="3" borderId="1" applyAlignment="1" pivotButton="0" quotePrefix="0" xfId="0">
      <alignment horizontal="center" vertical="center" wrapText="1"/>
    </xf>
    <xf numFmtId="0" fontId="18" fillId="3" borderId="0" applyAlignment="1" pivotButton="0" quotePrefix="0" xfId="0">
      <alignment vertical="center"/>
    </xf>
    <xf numFmtId="0" fontId="20" fillId="21" borderId="1" applyAlignment="1" pivotButton="0" quotePrefix="0" xfId="0">
      <alignment horizontal="left" vertical="center" wrapText="1"/>
    </xf>
    <xf numFmtId="0" fontId="20" fillId="21" borderId="2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8" fillId="0" borderId="3" applyAlignment="1" pivotButton="0" quotePrefix="0" xfId="0">
      <alignment vertical="center" wrapText="1"/>
    </xf>
    <xf numFmtId="0" fontId="20" fillId="13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center" vertical="center" wrapText="1"/>
    </xf>
    <xf numFmtId="0" fontId="20" fillId="21" borderId="0" applyAlignment="1" pivotButton="0" quotePrefix="0" xfId="0">
      <alignment horizontal="center" vertical="center"/>
    </xf>
    <xf numFmtId="0" fontId="18" fillId="19" borderId="0" applyAlignment="1" pivotButton="0" quotePrefix="0" xfId="0">
      <alignment vertical="center"/>
    </xf>
    <xf numFmtId="0" fontId="20" fillId="20" borderId="1" applyAlignment="1" pivotButton="0" quotePrefix="0" xfId="0">
      <alignment horizontal="left" vertical="center" wrapText="1"/>
    </xf>
    <xf numFmtId="0" fontId="18" fillId="9" borderId="0" applyAlignment="1" pivotButton="0" quotePrefix="0" xfId="0">
      <alignment vertical="center"/>
    </xf>
    <xf numFmtId="0" fontId="20" fillId="0" borderId="6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left" vertical="center" wrapText="1"/>
    </xf>
    <xf numFmtId="0" fontId="18" fillId="21" borderId="3" applyAlignment="1" pivotButton="0" quotePrefix="0" xfId="0">
      <alignment vertical="center" wrapText="1"/>
    </xf>
    <xf numFmtId="0" fontId="2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3" borderId="0" applyAlignment="1" pivotButton="0" quotePrefix="0" xfId="0">
      <alignment horizontal="left" vertical="center" wrapText="1"/>
    </xf>
    <xf numFmtId="0" fontId="20" fillId="3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vertical="center"/>
    </xf>
    <xf numFmtId="0" fontId="18" fillId="11" borderId="0" applyAlignment="1" pivotButton="0" quotePrefix="0" xfId="0">
      <alignment vertical="center"/>
    </xf>
    <xf numFmtId="0" fontId="20" fillId="21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vertical="center"/>
    </xf>
    <xf numFmtId="0" fontId="20" fillId="14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left" vertical="center" wrapText="1"/>
    </xf>
    <xf numFmtId="0" fontId="18" fillId="15" borderId="0" applyAlignment="1" pivotButton="0" quotePrefix="0" xfId="0">
      <alignment vertical="center"/>
    </xf>
    <xf numFmtId="0" fontId="20" fillId="0" borderId="4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20" fillId="19" borderId="2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left" vertical="center" wrapText="1"/>
    </xf>
    <xf numFmtId="0" fontId="20" fillId="17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center" vertical="center" wrapText="1"/>
    </xf>
    <xf numFmtId="0" fontId="18" fillId="18" borderId="0" applyAlignment="1" pivotButton="0" quotePrefix="0" xfId="0">
      <alignment vertical="center"/>
    </xf>
    <xf numFmtId="0" fontId="20" fillId="18" borderId="1" applyAlignment="1" pivotButton="0" quotePrefix="0" xfId="0">
      <alignment horizontal="left" vertical="center" wrapText="1"/>
    </xf>
    <xf numFmtId="0" fontId="20" fillId="18" borderId="1" applyAlignment="1" pivotButton="0" quotePrefix="0" xfId="0">
      <alignment horizontal="center" vertical="center" wrapText="1"/>
    </xf>
    <xf numFmtId="0" fontId="18" fillId="16" borderId="0" applyAlignment="1" pivotButton="0" quotePrefix="0" xfId="0">
      <alignment vertical="center"/>
    </xf>
    <xf numFmtId="0" fontId="20" fillId="12" borderId="1" applyAlignment="1" pivotButton="0" quotePrefix="0" xfId="0">
      <alignment horizontal="left" vertical="center" wrapText="1"/>
    </xf>
    <xf numFmtId="0" fontId="18" fillId="12" borderId="5" applyAlignment="1" pivotButton="0" quotePrefix="0" xfId="0">
      <alignment vertical="center" wrapText="1"/>
    </xf>
    <xf numFmtId="0" fontId="20" fillId="19" borderId="1" applyAlignment="1" pivotButton="0" quotePrefix="0" xfId="0">
      <alignment horizontal="center" vertical="top" wrapText="1"/>
    </xf>
    <xf numFmtId="0" fontId="20" fillId="11" borderId="2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 wrapText="1"/>
    </xf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4B0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jpeg" Id="rId1"/><Relationship Type="http://schemas.openxmlformats.org/officeDocument/2006/relationships/image" Target="/xl/media/image7.jpeg" Id="rId2"/><Relationship Type="http://schemas.openxmlformats.org/officeDocument/2006/relationships/image" Target="/xl/media/image8.jpeg" Id="rId3"/><Relationship Type="http://schemas.openxmlformats.org/officeDocument/2006/relationships/image" Target="/xl/media/image9.jpeg" Id="rId4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190501</xdr:colOff>
      <xdr:row>10</xdr:row>
      <xdr:rowOff>68035</xdr:rowOff>
    </xdr:from>
    <xdr:to>
      <xdr:col>5</xdr:col>
      <xdr:colOff>1619250</xdr:colOff>
      <xdr:row>10</xdr:row>
      <xdr:rowOff>2721429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609FA1-953B-48A7-A999-9A1B26BEB3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76" t="6066" r="33333"/>
        <a:stretch/>
      </xdr:blipFill>
      <xdr:spPr>
        <a:xfrm>
          <a:off x="9583048071" y="2326821"/>
          <a:ext cx="1428749" cy="265339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68036</xdr:colOff>
      <xdr:row>15</xdr:row>
      <xdr:rowOff>68035</xdr:rowOff>
    </xdr:from>
    <xdr:to>
      <xdr:col>5</xdr:col>
      <xdr:colOff>1641702</xdr:colOff>
      <xdr:row>15</xdr:row>
      <xdr:rowOff>2166256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89CC53-39C2-44AF-8A6D-F3C1C18F0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3025619" y="5851071"/>
          <a:ext cx="1573666" cy="209822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68036</xdr:colOff>
      <xdr:row>30</xdr:row>
      <xdr:rowOff>75220</xdr:rowOff>
    </xdr:from>
    <xdr:to>
      <xdr:col>5</xdr:col>
      <xdr:colOff>1617208</xdr:colOff>
      <xdr:row>30</xdr:row>
      <xdr:rowOff>1632858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6EAF7B-7767-445C-82C7-03C7FB9928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590"/>
        <a:stretch/>
      </xdr:blipFill>
      <xdr:spPr>
        <a:xfrm>
          <a:off x="9583050113" y="11219470"/>
          <a:ext cx="1549172" cy="155763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122464</xdr:colOff>
      <xdr:row>10</xdr:row>
      <xdr:rowOff>136071</xdr:rowOff>
    </xdr:from>
    <xdr:to>
      <xdr:col>4</xdr:col>
      <xdr:colOff>1551213</xdr:colOff>
      <xdr:row>11</xdr:row>
      <xdr:rowOff>2598965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3DCE56-B421-4BE7-A282-6008BD1C05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76" t="6066" r="33333"/>
        <a:stretch/>
      </xdr:blipFill>
      <xdr:spPr>
        <a:xfrm>
          <a:off x="9583646787" y="2217964"/>
          <a:ext cx="1428749" cy="265339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261937</xdr:colOff>
      <xdr:row>38</xdr:row>
      <xdr:rowOff>79375</xdr:rowOff>
    </xdr:from>
    <xdr:to>
      <xdr:col>4</xdr:col>
      <xdr:colOff>2333626</xdr:colOff>
      <xdr:row>38</xdr:row>
      <xdr:rowOff>2841626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DD206-1CAC-4EC6-B3F8-D23987866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869124" y="7985125"/>
          <a:ext cx="2071689" cy="276225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3374231</xdr:colOff>
      <xdr:row>22</xdr:row>
      <xdr:rowOff>301625</xdr:rowOff>
    </xdr:from>
    <xdr:to>
      <xdr:col>5</xdr:col>
      <xdr:colOff>4762499</xdr:colOff>
      <xdr:row>22</xdr:row>
      <xdr:rowOff>2152649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9C6C82-04B1-40CB-8ED1-22B5E810E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3726626" y="5715000"/>
          <a:ext cx="1388268" cy="185102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747731</xdr:colOff>
      <xdr:row>22</xdr:row>
      <xdr:rowOff>308750</xdr:rowOff>
    </xdr:from>
    <xdr:to>
      <xdr:col>5</xdr:col>
      <xdr:colOff>2135999</xdr:colOff>
      <xdr:row>22</xdr:row>
      <xdr:rowOff>2159774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7391C1-909F-4066-AB4F-550F9E6EE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353126" y="5722125"/>
          <a:ext cx="1388268" cy="185102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1203325</xdr:colOff>
      <xdr:row>28</xdr:row>
      <xdr:rowOff>37042</xdr:rowOff>
    </xdr:from>
    <xdr:to>
      <xdr:col>5</xdr:col>
      <xdr:colOff>3365500</xdr:colOff>
      <xdr:row>28</xdr:row>
      <xdr:rowOff>2919942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FD3690F-3AC8-45E0-B95A-8CE90DC3E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5123625" y="8958792"/>
          <a:ext cx="2162175" cy="28829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981075</xdr:colOff>
      <xdr:row>30</xdr:row>
      <xdr:rowOff>111125</xdr:rowOff>
    </xdr:from>
    <xdr:to>
      <xdr:col>5</xdr:col>
      <xdr:colOff>3063875</xdr:colOff>
      <xdr:row>30</xdr:row>
      <xdr:rowOff>2888191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793A33F-91BB-4B8F-94D3-5BB25E97A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5425250" y="12398375"/>
          <a:ext cx="2082800" cy="277706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rightToLeft="0" tabSelected="1" zoomScale="80" workbookViewId="0">
      <selection activeCell="A1" sqref="A1"/>
    </sheetView>
  </sheetViews>
  <sheetFormatPr baseColWidth="8" defaultRowHeight="15"/>
  <cols>
    <col width="46" customWidth="1" style="29" min="1" max="1"/>
    <col width="24" customWidth="1" style="29" min="2" max="2"/>
    <col width="46" customWidth="1" style="29" min="3" max="3"/>
    <col width="15" customWidth="1" style="29" min="4" max="4"/>
    <col width="15" customWidth="1" style="29" min="5" max="5"/>
    <col width="15" customWidth="1" style="29" min="6" max="6"/>
    <col width="15" customWidth="1" style="29" min="7" max="7"/>
    <col width="15" customWidth="1" style="29" min="8" max="8"/>
    <col width="15" customWidth="1" style="29" min="9" max="9"/>
    <col width="15" customWidth="1" style="29" min="10" max="10"/>
    <col width="15" customWidth="1" style="29" min="11" max="11"/>
    <col width="15" customWidth="1" style="29" min="12" max="12"/>
    <col width="15" customWidth="1" style="29" min="13" max="13"/>
    <col width="13" customWidth="1" style="29" min="14" max="14"/>
  </cols>
  <sheetData>
    <row r="1" ht="33" customHeight="1" s="29">
      <c r="A1" s="102" t="inlineStr">
        <is>
          <t>Car</t>
        </is>
      </c>
      <c r="B1" s="102" t="inlineStr">
        <is>
          <t>Chassis No.</t>
        </is>
      </c>
      <c r="C1" s="102" t="inlineStr">
        <is>
          <t>Operating Status</t>
        </is>
      </c>
      <c r="D1" s="102" t="inlineStr">
        <is>
          <t>Engine No.</t>
        </is>
      </c>
      <c r="E1" s="102" t="inlineStr">
        <is>
          <t>Missing Items</t>
        </is>
      </c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</row>
    <row r="2">
      <c r="A2" s="104" t="inlineStr">
        <is>
          <t>Car 1 - 00569</t>
        </is>
      </c>
      <c r="B2" s="105" t="str">
        <f>IF('Car 1 - 00569'!B1="","",'Car 1 - 00569'!B1)</f>
        <v>MD2A68CX5TWb00569</v>
      </c>
      <c r="C2" s="105" t="str">
        <f>IF('Car 1 - 00569'!B3="","",'Car 1 - 00569'!B3)</f>
        <v/>
      </c>
      <c r="D2" s="105" t="str">
        <f>IF('Car 1 - 00569'!B2="","",'Car 1 - 00569'!B2)</f>
        <v>BFXWTB23429</v>
      </c>
      <c r="E2" s="105">
        <f>COUNTA('Car 1 - 00569'!$B$7:$B$300)</f>
        <v>10</v>
      </c>
      <c r="F2" s="103" t="n"/>
      <c r="G2" s="103" t="n"/>
      <c r="H2" s="103" t="n"/>
      <c r="I2" s="103" t="n"/>
      <c r="J2" s="103" t="n"/>
      <c r="K2" s="103" t="n"/>
      <c r="L2" s="103" t="n"/>
      <c r="M2" s="103" t="n"/>
      <c r="N2" s="103" t="n"/>
    </row>
    <row r="3">
      <c r="A3" s="104" t="inlineStr">
        <is>
          <t>Car 2 - 01124</t>
        </is>
      </c>
      <c r="B3" s="105" t="str">
        <f>IF('Car 2 - 01124'!B1="","",'Car 2 - 01124'!B1)</f>
        <v>MD2A68CX5TWK01124</v>
      </c>
      <c r="C3" s="105" t="str">
        <f>IF('Car 2 - 01124'!B3="","",'Car 2 - 01124'!B3)</f>
        <v>Accident - at the bodywork and paint shop</v>
      </c>
      <c r="D3" s="105" t="str">
        <f>IF('Car 2 - 01124'!B2="","",'Car 2 - 01124'!B2)</f>
        <v/>
      </c>
      <c r="E3" s="105">
        <f>COUNTA('Car 2 - 01124'!$B$8:$B$300)</f>
        <v>27</v>
      </c>
      <c r="F3" s="103" t="n"/>
      <c r="G3" s="103" t="n"/>
      <c r="H3" s="103" t="n"/>
      <c r="I3" s="103" t="n"/>
      <c r="J3" s="103" t="n"/>
      <c r="K3" s="103" t="n"/>
      <c r="L3" s="103" t="n"/>
      <c r="M3" s="103" t="n"/>
      <c r="N3" s="103" t="n"/>
    </row>
    <row r="4">
      <c r="A4" s="104" t="inlineStr">
        <is>
          <t>Car 3 - 00133</t>
        </is>
      </c>
      <c r="B4" s="105" t="str">
        <f>IF('Car 3 - 00133'!B1="","",'Car 3 - 00133'!B1)</f>
        <v>MD2A68CX4TWM00133</v>
      </c>
      <c r="C4" s="105" t="str">
        <f>IF('Car 3 - 00133'!B3="","",'Car 3 - 00133'!B3)</f>
        <v>Not running - needs ECU inspection</v>
      </c>
      <c r="D4" s="105" t="str">
        <f>IF('Car 3 - 00133'!B2="","",'Car 3 - 00133'!B2)</f>
        <v>BXXWTM21238</v>
      </c>
      <c r="E4" s="105">
        <f>COUNTA('Car 3 - 00133'!$B$8:$B$300)</f>
        <v>18</v>
      </c>
      <c r="F4" s="103" t="n"/>
      <c r="G4" s="103" t="n"/>
      <c r="H4" s="103" t="n"/>
      <c r="I4" s="103" t="n"/>
      <c r="J4" s="103" t="n"/>
      <c r="K4" s="103" t="n"/>
      <c r="L4" s="103" t="n"/>
      <c r="M4" s="103" t="n"/>
      <c r="N4" s="103" t="n"/>
    </row>
    <row r="5">
      <c r="A5" s="104" t="inlineStr">
        <is>
          <t>Car 4 - 00679</t>
        </is>
      </c>
      <c r="B5" s="105" t="str">
        <f>IF('Car 4 - 00679'!B1="","",'Car 4 - 00679'!B1)</f>
        <v>MD2A68CX1WTB00679</v>
      </c>
      <c r="C5" s="105" t="str">
        <f>IF('Car 4 - 00679'!B3="","",'Car 4 - 00679'!B3)</f>
        <v>Accident - at the bodywork and paint shop</v>
      </c>
      <c r="D5" s="105" t="str">
        <f>IF('Car 4 - 00679'!B2="","",'Car 4 - 00679'!B2)</f>
        <v>BFXWTB23607</v>
      </c>
      <c r="E5" s="105">
        <f>COUNTA('Car 4 - 00679'!$B$8:$B$300)</f>
        <v>12</v>
      </c>
      <c r="F5" s="103" t="n"/>
      <c r="G5" s="103" t="n"/>
      <c r="H5" s="103" t="n"/>
      <c r="I5" s="103" t="n"/>
      <c r="J5" s="103" t="n"/>
      <c r="K5" s="103" t="n"/>
      <c r="L5" s="103" t="n"/>
      <c r="M5" s="103" t="n"/>
      <c r="N5" s="103" t="n"/>
    </row>
    <row r="6">
      <c r="A6" s="104" t="inlineStr">
        <is>
          <t>Car 5 - 00557</t>
        </is>
      </c>
      <c r="B6" s="105" t="str">
        <f>IF('Car 5 - 00557'!B1="","",'Car 5 - 00557'!B1)</f>
        <v>MD2A68CX9TWB00557</v>
      </c>
      <c r="C6" s="105" t="str">
        <f>IF('Car 5 - 00557'!B3="","",'Car 5 - 00557'!B3)</f>
        <v>Not running</v>
      </c>
      <c r="D6" s="105" t="str">
        <f>IF('Car 5 - 00557'!B2="","",'Car 5 - 00557'!B2)</f>
        <v>Engine dismantled</v>
      </c>
      <c r="E6" s="105">
        <f>COUNTA('Car 5 - 00557'!$B$8:$B$300)</f>
        <v>32</v>
      </c>
      <c r="F6" s="103" t="n"/>
      <c r="G6" s="103" t="n"/>
      <c r="H6" s="103" t="n"/>
      <c r="I6" s="103" t="n"/>
      <c r="J6" s="103" t="n"/>
      <c r="K6" s="103" t="n"/>
      <c r="L6" s="103" t="n"/>
      <c r="M6" s="103" t="n"/>
      <c r="N6" s="103" t="n"/>
    </row>
    <row r="7">
      <c r="A7" s="104" t="inlineStr">
        <is>
          <t>Car 6 - 00663</t>
        </is>
      </c>
      <c r="B7" s="105" t="str">
        <f>IF('Car 6 - 00663'!B1="","",'Car 6 - 00663'!B1)</f>
        <v>MD2A68CX8TWB00663</v>
      </c>
      <c r="C7" s="105" t="str">
        <f>IF('Car 6 - 00663'!B3="","",'Car 6 - 00663'!B3)</f>
        <v>Running</v>
      </c>
      <c r="D7" s="105" t="str">
        <f>IF('Car 6 - 00663'!B2="","",'Car 6 - 00663'!B2)</f>
        <v>BFXWTB23627</v>
      </c>
      <c r="E7" s="105">
        <f>COUNTA('Car 6 - 00663'!$B$8:$B$300)</f>
        <v>3</v>
      </c>
      <c r="F7" s="103" t="n"/>
      <c r="G7" s="103" t="n"/>
      <c r="H7" s="103" t="n"/>
      <c r="I7" s="103" t="n"/>
      <c r="J7" s="103" t="n"/>
      <c r="K7" s="103" t="n"/>
      <c r="L7" s="103" t="n"/>
      <c r="M7" s="103" t="n"/>
      <c r="N7" s="103" t="n"/>
    </row>
    <row r="8">
      <c r="A8" s="104" t="inlineStr">
        <is>
          <t>Car 7 - 00680</t>
        </is>
      </c>
      <c r="B8" s="105" t="str">
        <f>IF('Car 7 - 00680'!B1="","",'Car 7 - 00680'!B1)</f>
        <v>MD2A68CX8TWB00680</v>
      </c>
      <c r="C8" s="105" t="str">
        <f>IF('Car 7 - 00680'!B3="","",'Car 7 - 00680'!B3)</f>
        <v>Not running</v>
      </c>
      <c r="D8" s="105" t="str">
        <f>IF('Car 7 - 00680'!B2="","",'Car 7 - 00680'!B2)</f>
        <v>BFXWTB23163</v>
      </c>
      <c r="E8" s="105">
        <f>COUNTA('Car 7 - 00680'!$B$8:$B$300)</f>
        <v>11</v>
      </c>
      <c r="F8" s="103" t="n"/>
      <c r="G8" s="103" t="n"/>
      <c r="H8" s="103" t="n"/>
      <c r="I8" s="103" t="n"/>
      <c r="J8" s="103" t="n"/>
      <c r="K8" s="103" t="n"/>
      <c r="L8" s="103" t="n"/>
      <c r="M8" s="103" t="n"/>
      <c r="N8" s="103" t="n"/>
    </row>
    <row r="9">
      <c r="A9" s="104" t="inlineStr">
        <is>
          <t>Car 8 - 00523</t>
        </is>
      </c>
      <c r="B9" s="105" t="str">
        <f>IF('Car 8 - 00523'!B1="","",'Car 8 - 00523'!B1)</f>
        <v>MD2A68CX3TWB00523</v>
      </c>
      <c r="C9" s="105" t="str">
        <f>IF('Car 8 - 00523'!B3="","",'Car 8 - 00523'!B3)</f>
        <v>Running</v>
      </c>
      <c r="D9" s="105" t="str">
        <f>IF('Car 8 - 00523'!B2="","",'Car 8 - 00523'!B2)</f>
        <v>BFXWTB2345</v>
      </c>
      <c r="E9" s="105">
        <f>COUNTA('Car 8 - 00523'!$B$8:$B$300)</f>
        <v>4</v>
      </c>
      <c r="F9" s="103" t="n"/>
      <c r="G9" s="103" t="n"/>
      <c r="H9" s="103" t="n"/>
      <c r="I9" s="103" t="n"/>
      <c r="J9" s="103" t="n"/>
      <c r="K9" s="103" t="n"/>
      <c r="L9" s="103" t="n"/>
      <c r="M9" s="103" t="n"/>
      <c r="N9" s="103" t="n"/>
    </row>
    <row r="10">
      <c r="A10" s="104" t="inlineStr">
        <is>
          <t>Car 9 - 00097</t>
        </is>
      </c>
      <c r="B10" s="105" t="str">
        <f>IF('Car 9 - 00097'!B1="","",'Car 9 - 00097'!B1)</f>
        <v>MD2A68CX4TWM00097</v>
      </c>
      <c r="C10" s="105" t="str">
        <f>IF('Car 9 - 00097'!B3="","",'Car 9 - 00097'!B3)</f>
        <v>Engine is at the service center</v>
      </c>
      <c r="D10" s="105" t="str">
        <f>IF('Car 9 - 00097'!B2="","",'Car 9 - 00097'!B2)</f>
        <v>BFXWTM21314</v>
      </c>
      <c r="E10" s="105">
        <f>COUNTA('Car 9 - 00097'!$B$8:$B$300)</f>
        <v>34</v>
      </c>
      <c r="F10" s="103" t="n"/>
      <c r="G10" s="103" t="n"/>
      <c r="H10" s="103" t="n"/>
      <c r="I10" s="103" t="n"/>
      <c r="J10" s="103" t="n"/>
      <c r="K10" s="103" t="n"/>
      <c r="L10" s="103" t="n"/>
      <c r="M10" s="103" t="n"/>
      <c r="N10" s="103" t="n"/>
    </row>
    <row r="11">
      <c r="A11" s="104" t="inlineStr">
        <is>
          <t>Car 10 - 01352</t>
        </is>
      </c>
      <c r="B11" s="105" t="str">
        <f>IF('Car 10 - 01352'!B1="","",'Car 10 - 01352'!B1)</f>
        <v>MD2A68CX7TWK01352</v>
      </c>
      <c r="C11" s="105" t="str">
        <f>IF('Car 10 - 01352'!B3="","",'Car 10 - 01352'!B3)</f>
        <v>Accident</v>
      </c>
      <c r="D11" s="105" t="str">
        <f>IF('Car 10 - 01352'!B2="","",'Car 10 - 01352'!B2)</f>
        <v>BFXWTK20030</v>
      </c>
      <c r="E11" s="105">
        <f>COUNTA('Car 10 - 01352'!$B$8:$B$300)</f>
        <v>33</v>
      </c>
      <c r="F11" s="103" t="n"/>
      <c r="G11" s="103" t="n"/>
      <c r="H11" s="103" t="n"/>
      <c r="I11" s="103" t="n"/>
      <c r="J11" s="103" t="n"/>
      <c r="K11" s="103" t="n"/>
      <c r="L11" s="103" t="n"/>
      <c r="M11" s="103" t="n"/>
      <c r="N11" s="103" t="n"/>
    </row>
    <row r="12">
      <c r="A12" s="106" t="inlineStr">
        <is>
          <t>Total</t>
        </is>
      </c>
      <c r="B12" s="106" t="n"/>
      <c r="C12" s="106" t="n"/>
      <c r="D12" s="106" t="n"/>
      <c r="E12" s="106">
        <f>SUM(E2:E11)</f>
        <v>184</v>
      </c>
      <c r="F12" s="103" t="n"/>
      <c r="G12" s="103" t="n"/>
      <c r="H12" s="103" t="n"/>
      <c r="I12" s="103" t="n"/>
      <c r="J12" s="103" t="n"/>
      <c r="K12" s="103" t="n"/>
      <c r="L12" s="103" t="n"/>
      <c r="M12" s="103" t="n"/>
      <c r="N12" s="103" t="n"/>
    </row>
    <row r="13">
      <c r="A13" s="103" t="n"/>
      <c r="B13" s="103" t="n"/>
      <c r="C13" s="103" t="n"/>
      <c r="D13" s="103" t="n"/>
      <c r="E13" s="103" t="n"/>
      <c r="F13" s="103" t="n"/>
      <c r="G13" s="103" t="n"/>
      <c r="H13" s="103" t="n"/>
      <c r="I13" s="103" t="n"/>
      <c r="J13" s="103" t="n"/>
      <c r="K13" s="103" t="n"/>
      <c r="L13" s="103" t="n"/>
      <c r="M13" s="103" t="n"/>
      <c r="N13" s="103" t="n"/>
    </row>
    <row r="14">
      <c r="A14" s="107" t="inlineStr">
        <is>
          <t>Total Required Parts - All Cars (by Part No.)</t>
        </is>
      </c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  <c r="N14" s="103" t="n"/>
    </row>
    <row r="15">
      <c r="A15" s="102" t="inlineStr">
        <is>
          <t>Part Name</t>
        </is>
      </c>
      <c r="B15" s="102" t="inlineStr">
        <is>
          <t>Part No.</t>
        </is>
      </c>
      <c r="C15" s="102" t="inlineStr">
        <is>
          <t>Arabic Name</t>
        </is>
      </c>
      <c r="D15" s="102" t="inlineStr">
        <is>
          <t>Car 1</t>
        </is>
      </c>
      <c r="E15" s="102" t="inlineStr">
        <is>
          <t>Car 2</t>
        </is>
      </c>
      <c r="F15" s="102" t="inlineStr">
        <is>
          <t>Car 3</t>
        </is>
      </c>
      <c r="G15" s="102" t="inlineStr">
        <is>
          <t>Car 4</t>
        </is>
      </c>
      <c r="H15" s="102" t="inlineStr">
        <is>
          <t>Car 5</t>
        </is>
      </c>
      <c r="I15" s="102" t="inlineStr">
        <is>
          <t>Car 6</t>
        </is>
      </c>
      <c r="J15" s="102" t="inlineStr">
        <is>
          <t>Car 7</t>
        </is>
      </c>
      <c r="K15" s="102" t="inlineStr">
        <is>
          <t>Car 8</t>
        </is>
      </c>
      <c r="L15" s="102" t="inlineStr">
        <is>
          <t>Car 9</t>
        </is>
      </c>
      <c r="M15" s="102" t="inlineStr">
        <is>
          <t>Car 10</t>
        </is>
      </c>
      <c r="N15" s="102" t="inlineStr">
        <is>
          <t>Total</t>
        </is>
      </c>
    </row>
    <row r="16">
      <c r="A16" s="108" t="inlineStr">
        <is>
          <t>KIT SET LOCK LHD</t>
        </is>
      </c>
      <c r="B16" s="109" t="inlineStr">
        <is>
          <t>36BF0024</t>
        </is>
      </c>
      <c r="C16" s="108" t="inlineStr">
        <is>
          <t>ضمن: كالون باب امامي شمال</t>
        </is>
      </c>
      <c r="D16" s="109">
        <f>SUMIF('Car 1 - 00569'!$D$7:$D$300,$B16,'Car 1 - 00569'!$E$7:$E$300)+COUNTIFS('Car 1 - 00569'!$D$7:$D$300,$B16,'Car 1 - 00569'!$E$7:$E$300,"")</f>
        <v>0</v>
      </c>
      <c r="E16" s="109">
        <f>SUMIF('Car 2 - 01124'!$D$7:$D$300,$B16,'Car 2 - 01124'!$E$7:$E$300)+COUNTIFS('Car 2 - 01124'!$D$7:$D$300,$B16,'Car 2 - 01124'!$E$7:$E$300,"")</f>
        <v>0</v>
      </c>
      <c r="F16" s="109">
        <f>SUMIF('Car 3 - 00133'!$D$7:$D$300,$B16,'Car 3 - 00133'!$E$7:$E$300)+COUNTIFS('Car 3 - 00133'!$D$7:$D$300,$B16,'Car 3 - 00133'!$E$7:$E$300,"")</f>
        <v>0</v>
      </c>
      <c r="G16" s="109">
        <f>SUMIF('Car 4 - 00679'!$D$7:$D$300,$B16,'Car 4 - 00679'!$E$7:$E$300)+COUNTIFS('Car 4 - 00679'!$D$7:$D$300,$B16,'Car 4 - 00679'!$E$7:$E$300,"")</f>
        <v>0</v>
      </c>
      <c r="H16" s="109">
        <f>SUMIF('Car 5 - 00557'!$D$7:$D$300,$B16,'Car 5 - 00557'!$E$7:$E$300)+COUNTIFS('Car 5 - 00557'!$D$7:$D$300,$B16,'Car 5 - 00557'!$E$7:$E$300,"")</f>
        <v>0</v>
      </c>
      <c r="I16" s="109">
        <f>SUMIF('Car 6 - 00663'!$D$7:$D$300,$B16,'Car 6 - 00663'!$E$7:$E$300)+COUNTIFS('Car 6 - 00663'!$D$7:$D$300,$B16,'Car 6 - 00663'!$E$7:$E$300,"")</f>
        <v>0</v>
      </c>
      <c r="J16" s="109">
        <f>SUMIF('Car 7 - 00680'!$D$7:$D$300,$B16,'Car 7 - 00680'!$E$7:$E$300)+COUNTIFS('Car 7 - 00680'!$D$7:$D$300,$B16,'Car 7 - 00680'!$E$7:$E$300,"")</f>
        <v>0</v>
      </c>
      <c r="K16" s="109">
        <f>SUMIF('Car 8 - 00523'!$D$7:$D$300,$B16,'Car 8 - 00523'!$E$7:$E$300)+COUNTIFS('Car 8 - 00523'!$D$7:$D$300,$B16,'Car 8 - 00523'!$E$7:$E$300,"")</f>
        <v>0</v>
      </c>
      <c r="L16" s="109">
        <f>SUMIF('Car 9 - 00097'!$D$7:$D$300,$B16,'Car 9 - 00097'!$E$7:$E$300)+COUNTIFS('Car 9 - 00097'!$D$7:$D$300,$B16,'Car 9 - 00097'!$E$7:$E$300,"")</f>
        <v>0</v>
      </c>
      <c r="M16" s="109">
        <f>SUMIF('Car 10 - 01352'!$D$7:$D$300,$B16,'Car 10 - 01352'!$E$7:$E$300)+COUNTIFS('Car 10 - 01352'!$D$7:$D$300,$B16,'Car 10 - 01352'!$E$7:$E$300,"")</f>
        <v>1</v>
      </c>
      <c r="N16" s="109">
        <f>SUM(D16:M16)</f>
        <v>1</v>
      </c>
    </row>
    <row r="17" ht="33" customHeight="1" s="29">
      <c r="A17" s="108" t="inlineStr">
        <is>
          <t>ASSEMBLY REAR DOOR COMP RH WHITE</t>
        </is>
      </c>
      <c r="B17" s="109" t="inlineStr">
        <is>
          <t>52BF0102</t>
        </is>
      </c>
      <c r="C17" s="108" t="inlineStr">
        <is>
          <t>باب خلفي يمين + فريم + زجاج + جوانة + فبرة زجاج</t>
        </is>
      </c>
      <c r="D17" s="109">
        <f>SUMIF('Car 1 - 00569'!$D$7:$D$300,$B17,'Car 1 - 00569'!$E$7:$E$300)+COUNTIFS('Car 1 - 00569'!$D$7:$D$300,$B17,'Car 1 - 00569'!$E$7:$E$300,"")</f>
        <v>0</v>
      </c>
      <c r="E17" s="109">
        <f>SUMIF('Car 2 - 01124'!$D$7:$D$300,$B17,'Car 2 - 01124'!$E$7:$E$300)+COUNTIFS('Car 2 - 01124'!$D$7:$D$300,$B17,'Car 2 - 01124'!$E$7:$E$300,"")</f>
        <v>1</v>
      </c>
      <c r="F17" s="109">
        <f>SUMIF('Car 3 - 00133'!$D$7:$D$300,$B17,'Car 3 - 00133'!$E$7:$E$300)+COUNTIFS('Car 3 - 00133'!$D$7:$D$300,$B17,'Car 3 - 00133'!$E$7:$E$300,"")</f>
        <v>0</v>
      </c>
      <c r="G17" s="109">
        <f>SUMIF('Car 4 - 00679'!$D$7:$D$300,$B17,'Car 4 - 00679'!$E$7:$E$300)+COUNTIFS('Car 4 - 00679'!$D$7:$D$300,$B17,'Car 4 - 00679'!$E$7:$E$300,"")</f>
        <v>1</v>
      </c>
      <c r="H17" s="109">
        <f>SUMIF('Car 5 - 00557'!$D$7:$D$300,$B17,'Car 5 - 00557'!$E$7:$E$300)+COUNTIFS('Car 5 - 00557'!$D$7:$D$300,$B17,'Car 5 - 00557'!$E$7:$E$300,"")</f>
        <v>1</v>
      </c>
      <c r="I17" s="109">
        <f>SUMIF('Car 6 - 00663'!$D$7:$D$300,$B17,'Car 6 - 00663'!$E$7:$E$300)+COUNTIFS('Car 6 - 00663'!$D$7:$D$300,$B17,'Car 6 - 00663'!$E$7:$E$300,"")</f>
        <v>0</v>
      </c>
      <c r="J17" s="109">
        <f>SUMIF('Car 7 - 00680'!$D$7:$D$300,$B17,'Car 7 - 00680'!$E$7:$E$300)+COUNTIFS('Car 7 - 00680'!$D$7:$D$300,$B17,'Car 7 - 00680'!$E$7:$E$300,"")</f>
        <v>0</v>
      </c>
      <c r="K17" s="109">
        <f>SUMIF('Car 8 - 00523'!$D$7:$D$300,$B17,'Car 8 - 00523'!$E$7:$E$300)+COUNTIFS('Car 8 - 00523'!$D$7:$D$300,$B17,'Car 8 - 00523'!$E$7:$E$300,"")</f>
        <v>0</v>
      </c>
      <c r="L17" s="109">
        <f>SUMIF('Car 9 - 00097'!$D$7:$D$300,$B17,'Car 9 - 00097'!$E$7:$E$300)+COUNTIFS('Car 9 - 00097'!$D$7:$D$300,$B17,'Car 9 - 00097'!$E$7:$E$300,"")</f>
        <v>1</v>
      </c>
      <c r="M17" s="109">
        <f>SUMIF('Car 10 - 01352'!$D$7:$D$300,$B17,'Car 10 - 01352'!$E$7:$E$300)+COUNTIFS('Car 10 - 01352'!$D$7:$D$300,$B17,'Car 10 - 01352'!$E$7:$E$300,"")</f>
        <v>1</v>
      </c>
      <c r="N17" s="109">
        <f>SUM(D17:M17)</f>
        <v>5</v>
      </c>
    </row>
    <row r="18" ht="33" customHeight="1" s="29">
      <c r="A18" s="108" t="inlineStr">
        <is>
          <t>ED COATED DOOR FRAME- FRT LH-BF243085</t>
        </is>
      </c>
      <c r="B18" s="109" t="inlineStr">
        <is>
          <t>52BF0689</t>
        </is>
      </c>
      <c r="C18" s="108" t="inlineStr">
        <is>
          <t>ضمن: زجاج باب أمامي شمال + فريم كامل + جوانات باب + لوك + فبرة زجاج</t>
        </is>
      </c>
      <c r="D18" s="109">
        <f>SUMIF('Car 1 - 00569'!$D$7:$D$300,$B18,'Car 1 - 00569'!$E$7:$E$300)+COUNTIFS('Car 1 - 00569'!$D$7:$D$300,$B18,'Car 1 - 00569'!$E$7:$E$300,"")</f>
        <v>0</v>
      </c>
      <c r="E18" s="109">
        <f>SUMIF('Car 2 - 01124'!$D$7:$D$300,$B18,'Car 2 - 01124'!$E$7:$E$300)+COUNTIFS('Car 2 - 01124'!$D$7:$D$300,$B18,'Car 2 - 01124'!$E$7:$E$300,"")</f>
        <v>0</v>
      </c>
      <c r="F18" s="109">
        <f>SUMIF('Car 3 - 00133'!$D$7:$D$300,$B18,'Car 3 - 00133'!$E$7:$E$300)+COUNTIFS('Car 3 - 00133'!$D$7:$D$300,$B18,'Car 3 - 00133'!$E$7:$E$300,"")</f>
        <v>1</v>
      </c>
      <c r="G18" s="109">
        <f>SUMIF('Car 4 - 00679'!$D$7:$D$300,$B18,'Car 4 - 00679'!$E$7:$E$300)+COUNTIFS('Car 4 - 00679'!$D$7:$D$300,$B18,'Car 4 - 00679'!$E$7:$E$300,"")</f>
        <v>0</v>
      </c>
      <c r="H18" s="109">
        <f>SUMIF('Car 5 - 00557'!$D$7:$D$300,$B18,'Car 5 - 00557'!$E$7:$E$300)+COUNTIFS('Car 5 - 00557'!$D$7:$D$300,$B18,'Car 5 - 00557'!$E$7:$E$300,"")</f>
        <v>1</v>
      </c>
      <c r="I18" s="109">
        <f>SUMIF('Car 6 - 00663'!$D$7:$D$300,$B18,'Car 6 - 00663'!$E$7:$E$300)+COUNTIFS('Car 6 - 00663'!$D$7:$D$300,$B18,'Car 6 - 00663'!$E$7:$E$300,"")</f>
        <v>0</v>
      </c>
      <c r="J18" s="109">
        <f>SUMIF('Car 7 - 00680'!$D$7:$D$300,$B18,'Car 7 - 00680'!$E$7:$E$300)+COUNTIFS('Car 7 - 00680'!$D$7:$D$300,$B18,'Car 7 - 00680'!$E$7:$E$300,"")</f>
        <v>1</v>
      </c>
      <c r="K18" s="109">
        <f>SUMIF('Car 8 - 00523'!$D$7:$D$300,$B18,'Car 8 - 00523'!$E$7:$E$300)+COUNTIFS('Car 8 - 00523'!$D$7:$D$300,$B18,'Car 8 - 00523'!$E$7:$E$300,"")</f>
        <v>0</v>
      </c>
      <c r="L18" s="109">
        <f>SUMIF('Car 9 - 00097'!$D$7:$D$300,$B18,'Car 9 - 00097'!$E$7:$E$300)+COUNTIFS('Car 9 - 00097'!$D$7:$D$300,$B18,'Car 9 - 00097'!$E$7:$E$300,"")</f>
        <v>1</v>
      </c>
      <c r="M18" s="109">
        <f>SUMIF('Car 10 - 01352'!$D$7:$D$300,$B18,'Car 10 - 01352'!$E$7:$E$300)+COUNTIFS('Car 10 - 01352'!$D$7:$D$300,$B18,'Car 10 - 01352'!$E$7:$E$300,"")</f>
        <v>0</v>
      </c>
      <c r="N18" s="109">
        <f>SUM(D18:M18)</f>
        <v>4</v>
      </c>
    </row>
    <row r="19" ht="33" customHeight="1" s="29">
      <c r="A19" s="108" t="inlineStr">
        <is>
          <t>ASSLY CHANNEL QTR GLS MTG LH PAINT-BLACK</t>
        </is>
      </c>
      <c r="B19" s="109" t="inlineStr">
        <is>
          <t>56BF3R22</t>
        </is>
      </c>
      <c r="C19" s="108" t="inlineStr">
        <is>
          <t>ضمن: زجاج باب أمامي شمال + فريم كامل + جوانات باب + لوك + فبرة زجاج</t>
        </is>
      </c>
      <c r="D19" s="109">
        <f>SUMIF('Car 1 - 00569'!$D$7:$D$300,$B19,'Car 1 - 00569'!$E$7:$E$300)+COUNTIFS('Car 1 - 00569'!$D$7:$D$300,$B19,'Car 1 - 00569'!$E$7:$E$300,"")</f>
        <v>0</v>
      </c>
      <c r="E19" s="109">
        <f>SUMIF('Car 2 - 01124'!$D$7:$D$300,$B19,'Car 2 - 01124'!$E$7:$E$300)+COUNTIFS('Car 2 - 01124'!$D$7:$D$300,$B19,'Car 2 - 01124'!$E$7:$E$300,"")</f>
        <v>0</v>
      </c>
      <c r="F19" s="109">
        <f>SUMIF('Car 3 - 00133'!$D$7:$D$300,$B19,'Car 3 - 00133'!$E$7:$E$300)+COUNTIFS('Car 3 - 00133'!$D$7:$D$300,$B19,'Car 3 - 00133'!$E$7:$E$300,"")</f>
        <v>1</v>
      </c>
      <c r="G19" s="109">
        <f>SUMIF('Car 4 - 00679'!$D$7:$D$300,$B19,'Car 4 - 00679'!$E$7:$E$300)+COUNTIFS('Car 4 - 00679'!$D$7:$D$300,$B19,'Car 4 - 00679'!$E$7:$E$300,"")</f>
        <v>0</v>
      </c>
      <c r="H19" s="109">
        <f>SUMIF('Car 5 - 00557'!$D$7:$D$300,$B19,'Car 5 - 00557'!$E$7:$E$300)+COUNTIFS('Car 5 - 00557'!$D$7:$D$300,$B19,'Car 5 - 00557'!$E$7:$E$300,"")</f>
        <v>1</v>
      </c>
      <c r="I19" s="109">
        <f>SUMIF('Car 6 - 00663'!$D$7:$D$300,$B19,'Car 6 - 00663'!$E$7:$E$300)+COUNTIFS('Car 6 - 00663'!$D$7:$D$300,$B19,'Car 6 - 00663'!$E$7:$E$300,"")</f>
        <v>0</v>
      </c>
      <c r="J19" s="109">
        <f>SUMIF('Car 7 - 00680'!$D$7:$D$300,$B19,'Car 7 - 00680'!$E$7:$E$300)+COUNTIFS('Car 7 - 00680'!$D$7:$D$300,$B19,'Car 7 - 00680'!$E$7:$E$300,"")</f>
        <v>1</v>
      </c>
      <c r="K19" s="109">
        <f>SUMIF('Car 8 - 00523'!$D$7:$D$300,$B19,'Car 8 - 00523'!$E$7:$E$300)+COUNTIFS('Car 8 - 00523'!$D$7:$D$300,$B19,'Car 8 - 00523'!$E$7:$E$300,"")</f>
        <v>0</v>
      </c>
      <c r="L19" s="109">
        <f>SUMIF('Car 9 - 00097'!$D$7:$D$300,$B19,'Car 9 - 00097'!$E$7:$E$300)+COUNTIFS('Car 9 - 00097'!$D$7:$D$300,$B19,'Car 9 - 00097'!$E$7:$E$300,"")</f>
        <v>1</v>
      </c>
      <c r="M19" s="109">
        <f>SUMIF('Car 10 - 01352'!$D$7:$D$300,$B19,'Car 10 - 01352'!$E$7:$E$300)+COUNTIFS('Car 10 - 01352'!$D$7:$D$300,$B19,'Car 10 - 01352'!$E$7:$E$300,"")</f>
        <v>0</v>
      </c>
      <c r="N19" s="109">
        <f>SUM(D19:M19)</f>
        <v>4</v>
      </c>
    </row>
    <row r="20">
      <c r="A20" s="108" t="inlineStr">
        <is>
          <t>LAMP (LIGHT) ASSEMBLY - CABIN</t>
        </is>
      </c>
      <c r="B20" s="109" t="inlineStr">
        <is>
          <t>AL201039</t>
        </is>
      </c>
      <c r="C20" s="108" t="inlineStr">
        <is>
          <t>فانوس ماتور</t>
        </is>
      </c>
      <c r="D20" s="109">
        <f>SUMIF('Car 1 - 00569'!$D$7:$D$300,$B20,'Car 1 - 00569'!$E$7:$E$300)+COUNTIFS('Car 1 - 00569'!$D$7:$D$300,$B20,'Car 1 - 00569'!$E$7:$E$300,"")</f>
        <v>0</v>
      </c>
      <c r="E20" s="109">
        <f>SUMIF('Car 2 - 01124'!$D$7:$D$300,$B20,'Car 2 - 01124'!$E$7:$E$300)+COUNTIFS('Car 2 - 01124'!$D$7:$D$300,$B20,'Car 2 - 01124'!$E$7:$E$300,"")</f>
        <v>1</v>
      </c>
      <c r="F20" s="109">
        <f>SUMIF('Car 3 - 00133'!$D$7:$D$300,$B20,'Car 3 - 00133'!$E$7:$E$300)+COUNTIFS('Car 3 - 00133'!$D$7:$D$300,$B20,'Car 3 - 00133'!$E$7:$E$300,"")</f>
        <v>0</v>
      </c>
      <c r="G20" s="109">
        <f>SUMIF('Car 4 - 00679'!$D$7:$D$300,$B20,'Car 4 - 00679'!$E$7:$E$300)+COUNTIFS('Car 4 - 00679'!$D$7:$D$300,$B20,'Car 4 - 00679'!$E$7:$E$300,"")</f>
        <v>0</v>
      </c>
      <c r="H20" s="109">
        <f>SUMIF('Car 5 - 00557'!$D$7:$D$300,$B20,'Car 5 - 00557'!$E$7:$E$300)+COUNTIFS('Car 5 - 00557'!$D$7:$D$300,$B20,'Car 5 - 00557'!$E$7:$E$300,"")</f>
        <v>0</v>
      </c>
      <c r="I20" s="109">
        <f>SUMIF('Car 6 - 00663'!$D$7:$D$300,$B20,'Car 6 - 00663'!$E$7:$E$300)+COUNTIFS('Car 6 - 00663'!$D$7:$D$300,$B20,'Car 6 - 00663'!$E$7:$E$300,"")</f>
        <v>0</v>
      </c>
      <c r="J20" s="109">
        <f>SUMIF('Car 7 - 00680'!$D$7:$D$300,$B20,'Car 7 - 00680'!$E$7:$E$300)+COUNTIFS('Car 7 - 00680'!$D$7:$D$300,$B20,'Car 7 - 00680'!$E$7:$E$300,"")</f>
        <v>0</v>
      </c>
      <c r="K20" s="109">
        <f>SUMIF('Car 8 - 00523'!$D$7:$D$300,$B20,'Car 8 - 00523'!$E$7:$E$300)+COUNTIFS('Car 8 - 00523'!$D$7:$D$300,$B20,'Car 8 - 00523'!$E$7:$E$300,"")</f>
        <v>0</v>
      </c>
      <c r="L20" s="109">
        <f>SUMIF('Car 9 - 00097'!$D$7:$D$300,$B20,'Car 9 - 00097'!$E$7:$E$300)+COUNTIFS('Car 9 - 00097'!$D$7:$D$300,$B20,'Car 9 - 00097'!$E$7:$E$300,"")</f>
        <v>0</v>
      </c>
      <c r="M20" s="109">
        <f>SUMIF('Car 10 - 01352'!$D$7:$D$300,$B20,'Car 10 - 01352'!$E$7:$E$300)+COUNTIFS('Car 10 - 01352'!$D$7:$D$300,$B20,'Car 10 - 01352'!$E$7:$E$300,"")</f>
        <v>0</v>
      </c>
      <c r="N20" s="109">
        <f>SUM(D20:M20)</f>
        <v>1</v>
      </c>
    </row>
    <row r="21">
      <c r="A21" s="108" t="inlineStr">
        <is>
          <t>CHARGER MOBILE</t>
        </is>
      </c>
      <c r="B21" s="109" t="inlineStr">
        <is>
          <t>AL201100</t>
        </is>
      </c>
      <c r="C21" s="108" t="inlineStr">
        <is>
          <t>ولاعه</t>
        </is>
      </c>
      <c r="D21" s="109">
        <f>SUMIF('Car 1 - 00569'!$D$7:$D$300,$B21,'Car 1 - 00569'!$E$7:$E$300)+COUNTIFS('Car 1 - 00569'!$D$7:$D$300,$B21,'Car 1 - 00569'!$E$7:$E$300,"")</f>
        <v>0</v>
      </c>
      <c r="E21" s="109">
        <f>SUMIF('Car 2 - 01124'!$D$7:$D$300,$B21,'Car 2 - 01124'!$E$7:$E$300)+COUNTIFS('Car 2 - 01124'!$D$7:$D$300,$B21,'Car 2 - 01124'!$E$7:$E$300,"")</f>
        <v>1</v>
      </c>
      <c r="F21" s="109">
        <f>SUMIF('Car 3 - 00133'!$D$7:$D$300,$B21,'Car 3 - 00133'!$E$7:$E$300)+COUNTIFS('Car 3 - 00133'!$D$7:$D$300,$B21,'Car 3 - 00133'!$E$7:$E$300,"")</f>
        <v>0</v>
      </c>
      <c r="G21" s="109">
        <f>SUMIF('Car 4 - 00679'!$D$7:$D$300,$B21,'Car 4 - 00679'!$E$7:$E$300)+COUNTIFS('Car 4 - 00679'!$D$7:$D$300,$B21,'Car 4 - 00679'!$E$7:$E$300,"")</f>
        <v>0</v>
      </c>
      <c r="H21" s="109">
        <f>SUMIF('Car 5 - 00557'!$D$7:$D$300,$B21,'Car 5 - 00557'!$E$7:$E$300)+COUNTIFS('Car 5 - 00557'!$D$7:$D$300,$B21,'Car 5 - 00557'!$E$7:$E$300,"")</f>
        <v>0</v>
      </c>
      <c r="I21" s="109">
        <f>SUMIF('Car 6 - 00663'!$D$7:$D$300,$B21,'Car 6 - 00663'!$E$7:$E$300)+COUNTIFS('Car 6 - 00663'!$D$7:$D$300,$B21,'Car 6 - 00663'!$E$7:$E$300,"")</f>
        <v>0</v>
      </c>
      <c r="J21" s="109">
        <f>SUMIF('Car 7 - 00680'!$D$7:$D$300,$B21,'Car 7 - 00680'!$E$7:$E$300)+COUNTIFS('Car 7 - 00680'!$D$7:$D$300,$B21,'Car 7 - 00680'!$E$7:$E$300,"")</f>
        <v>0</v>
      </c>
      <c r="K21" s="109">
        <f>SUMIF('Car 8 - 00523'!$D$7:$D$300,$B21,'Car 8 - 00523'!$E$7:$E$300)+COUNTIFS('Car 8 - 00523'!$D$7:$D$300,$B21,'Car 8 - 00523'!$E$7:$E$300,"")</f>
        <v>0</v>
      </c>
      <c r="L21" s="109">
        <f>SUMIF('Car 9 - 00097'!$D$7:$D$300,$B21,'Car 9 - 00097'!$E$7:$E$300)+COUNTIFS('Car 9 - 00097'!$D$7:$D$300,$B21,'Car 9 - 00097'!$E$7:$E$300,"")</f>
        <v>0</v>
      </c>
      <c r="M21" s="109">
        <f>SUMIF('Car 10 - 01352'!$D$7:$D$300,$B21,'Car 10 - 01352'!$E$7:$E$300)+COUNTIFS('Car 10 - 01352'!$D$7:$D$300,$B21,'Car 10 - 01352'!$E$7:$E$300,"")</f>
        <v>1</v>
      </c>
      <c r="N21" s="109">
        <f>SUM(D21:M21)</f>
        <v>2</v>
      </c>
    </row>
    <row r="22">
      <c r="A22" s="108" t="inlineStr">
        <is>
          <t>BRACKET RR ENG SIDE 200CC</t>
        </is>
      </c>
      <c r="B22" s="109" t="inlineStr">
        <is>
          <t>BF113435</t>
        </is>
      </c>
      <c r="C22" s="108" t="inlineStr">
        <is>
          <t>براكيت ماتور</t>
        </is>
      </c>
      <c r="D22" s="109">
        <f>SUMIF('Car 1 - 00569'!$D$7:$D$300,$B22,'Car 1 - 00569'!$E$7:$E$300)+COUNTIFS('Car 1 - 00569'!$D$7:$D$300,$B22,'Car 1 - 00569'!$E$7:$E$300,"")</f>
        <v>0</v>
      </c>
      <c r="E22" s="109">
        <f>SUMIF('Car 2 - 01124'!$D$7:$D$300,$B22,'Car 2 - 01124'!$E$7:$E$300)+COUNTIFS('Car 2 - 01124'!$D$7:$D$300,$B22,'Car 2 - 01124'!$E$7:$E$300,"")</f>
        <v>0</v>
      </c>
      <c r="F22" s="109">
        <f>SUMIF('Car 3 - 00133'!$D$7:$D$300,$B22,'Car 3 - 00133'!$E$7:$E$300)+COUNTIFS('Car 3 - 00133'!$D$7:$D$300,$B22,'Car 3 - 00133'!$E$7:$E$300,"")</f>
        <v>0</v>
      </c>
      <c r="G22" s="109">
        <f>SUMIF('Car 4 - 00679'!$D$7:$D$300,$B22,'Car 4 - 00679'!$E$7:$E$300)+COUNTIFS('Car 4 - 00679'!$D$7:$D$300,$B22,'Car 4 - 00679'!$E$7:$E$300,"")</f>
        <v>0</v>
      </c>
      <c r="H22" s="109">
        <f>SUMIF('Car 5 - 00557'!$D$7:$D$300,$B22,'Car 5 - 00557'!$E$7:$E$300)+COUNTIFS('Car 5 - 00557'!$D$7:$D$300,$B22,'Car 5 - 00557'!$E$7:$E$300,"")</f>
        <v>1</v>
      </c>
      <c r="I22" s="109">
        <f>SUMIF('Car 6 - 00663'!$D$7:$D$300,$B22,'Car 6 - 00663'!$E$7:$E$300)+COUNTIFS('Car 6 - 00663'!$D$7:$D$300,$B22,'Car 6 - 00663'!$E$7:$E$300,"")</f>
        <v>0</v>
      </c>
      <c r="J22" s="109">
        <f>SUMIF('Car 7 - 00680'!$D$7:$D$300,$B22,'Car 7 - 00680'!$E$7:$E$300)+COUNTIFS('Car 7 - 00680'!$D$7:$D$300,$B22,'Car 7 - 00680'!$E$7:$E$300,"")</f>
        <v>0</v>
      </c>
      <c r="K22" s="109">
        <f>SUMIF('Car 8 - 00523'!$D$7:$D$300,$B22,'Car 8 - 00523'!$E$7:$E$300)+COUNTIFS('Car 8 - 00523'!$D$7:$D$300,$B22,'Car 8 - 00523'!$E$7:$E$300,"")</f>
        <v>0</v>
      </c>
      <c r="L22" s="109">
        <f>SUMIF('Car 9 - 00097'!$D$7:$D$300,$B22,'Car 9 - 00097'!$E$7:$E$300)+COUNTIFS('Car 9 - 00097'!$D$7:$D$300,$B22,'Car 9 - 00097'!$E$7:$E$300,"")</f>
        <v>1</v>
      </c>
      <c r="M22" s="109">
        <f>SUMIF('Car 10 - 01352'!$D$7:$D$300,$B22,'Car 10 - 01352'!$E$7:$E$300)+COUNTIFS('Car 10 - 01352'!$D$7:$D$300,$B22,'Car 10 - 01352'!$E$7:$E$300,"")</f>
        <v>0</v>
      </c>
      <c r="N22" s="109">
        <f>SUM(D22:M22)</f>
        <v>2</v>
      </c>
    </row>
    <row r="23">
      <c r="A23" s="108" t="inlineStr">
        <is>
          <t>ISOLATOR ASSEMBLY FRONT</t>
        </is>
      </c>
      <c r="B23" s="109" t="inlineStr">
        <is>
          <t>BF113461</t>
        </is>
      </c>
      <c r="C23" s="108" t="inlineStr">
        <is>
          <t>ضمن: براكيت ماتور</t>
        </is>
      </c>
      <c r="D23" s="109">
        <f>SUMIF('Car 1 - 00569'!$D$7:$D$300,$B23,'Car 1 - 00569'!$E$7:$E$300)+COUNTIFS('Car 1 - 00569'!$D$7:$D$300,$B23,'Car 1 - 00569'!$E$7:$E$300,"")</f>
        <v>0</v>
      </c>
      <c r="E23" s="109">
        <f>SUMIF('Car 2 - 01124'!$D$7:$D$300,$B23,'Car 2 - 01124'!$E$7:$E$300)+COUNTIFS('Car 2 - 01124'!$D$7:$D$300,$B23,'Car 2 - 01124'!$E$7:$E$300,"")</f>
        <v>0</v>
      </c>
      <c r="F23" s="109">
        <f>SUMIF('Car 3 - 00133'!$D$7:$D$300,$B23,'Car 3 - 00133'!$E$7:$E$300)+COUNTIFS('Car 3 - 00133'!$D$7:$D$300,$B23,'Car 3 - 00133'!$E$7:$E$300,"")</f>
        <v>0</v>
      </c>
      <c r="G23" s="109">
        <f>SUMIF('Car 4 - 00679'!$D$7:$D$300,$B23,'Car 4 - 00679'!$E$7:$E$300)+COUNTIFS('Car 4 - 00679'!$D$7:$D$300,$B23,'Car 4 - 00679'!$E$7:$E$300,"")</f>
        <v>0</v>
      </c>
      <c r="H23" s="109">
        <f>SUMIF('Car 5 - 00557'!$D$7:$D$300,$B23,'Car 5 - 00557'!$E$7:$E$300)+COUNTIFS('Car 5 - 00557'!$D$7:$D$300,$B23,'Car 5 - 00557'!$E$7:$E$300,"")</f>
        <v>1</v>
      </c>
      <c r="I23" s="109">
        <f>SUMIF('Car 6 - 00663'!$D$7:$D$300,$B23,'Car 6 - 00663'!$E$7:$E$300)+COUNTIFS('Car 6 - 00663'!$D$7:$D$300,$B23,'Car 6 - 00663'!$E$7:$E$300,"")</f>
        <v>0</v>
      </c>
      <c r="J23" s="109">
        <f>SUMIF('Car 7 - 00680'!$D$7:$D$300,$B23,'Car 7 - 00680'!$E$7:$E$300)+COUNTIFS('Car 7 - 00680'!$D$7:$D$300,$B23,'Car 7 - 00680'!$E$7:$E$300,"")</f>
        <v>0</v>
      </c>
      <c r="K23" s="109">
        <f>SUMIF('Car 8 - 00523'!$D$7:$D$300,$B23,'Car 8 - 00523'!$E$7:$E$300)+COUNTIFS('Car 8 - 00523'!$D$7:$D$300,$B23,'Car 8 - 00523'!$E$7:$E$300,"")</f>
        <v>0</v>
      </c>
      <c r="L23" s="109">
        <f>SUMIF('Car 9 - 00097'!$D$7:$D$300,$B23,'Car 9 - 00097'!$E$7:$E$300)+COUNTIFS('Car 9 - 00097'!$D$7:$D$300,$B23,'Car 9 - 00097'!$E$7:$E$300,"")</f>
        <v>1</v>
      </c>
      <c r="M23" s="109">
        <f>SUMIF('Car 10 - 01352'!$D$7:$D$300,$B23,'Car 10 - 01352'!$E$7:$E$300)+COUNTIFS('Car 10 - 01352'!$D$7:$D$300,$B23,'Car 10 - 01352'!$E$7:$E$300,"")</f>
        <v>0</v>
      </c>
      <c r="N23" s="109">
        <f>SUM(D23:M23)</f>
        <v>2</v>
      </c>
    </row>
    <row r="24">
      <c r="A24" s="108" t="inlineStr">
        <is>
          <t>ASSEMBLY ARM CONTROL LOWER RH</t>
        </is>
      </c>
      <c r="B24" s="109" t="inlineStr">
        <is>
          <t>BF121112</t>
        </is>
      </c>
      <c r="C24" s="108" t="inlineStr">
        <is>
          <t>مقص امامي يمين</t>
        </is>
      </c>
      <c r="D24" s="109">
        <f>SUMIF('Car 1 - 00569'!$D$7:$D$300,$B24,'Car 1 - 00569'!$E$7:$E$300)+COUNTIFS('Car 1 - 00569'!$D$7:$D$300,$B24,'Car 1 - 00569'!$E$7:$E$300,"")</f>
        <v>0</v>
      </c>
      <c r="E24" s="109">
        <f>SUMIF('Car 2 - 01124'!$D$7:$D$300,$B24,'Car 2 - 01124'!$E$7:$E$300)+COUNTIFS('Car 2 - 01124'!$D$7:$D$300,$B24,'Car 2 - 01124'!$E$7:$E$300,"")</f>
        <v>0</v>
      </c>
      <c r="F24" s="109">
        <f>SUMIF('Car 3 - 00133'!$D$7:$D$300,$B24,'Car 3 - 00133'!$E$7:$E$300)+COUNTIFS('Car 3 - 00133'!$D$7:$D$300,$B24,'Car 3 - 00133'!$E$7:$E$300,"")</f>
        <v>0</v>
      </c>
      <c r="G24" s="109">
        <f>SUMIF('Car 4 - 00679'!$D$7:$D$300,$B24,'Car 4 - 00679'!$E$7:$E$300)+COUNTIFS('Car 4 - 00679'!$D$7:$D$300,$B24,'Car 4 - 00679'!$E$7:$E$300,"")</f>
        <v>0</v>
      </c>
      <c r="H24" s="109">
        <f>SUMIF('Car 5 - 00557'!$D$7:$D$300,$B24,'Car 5 - 00557'!$E$7:$E$300)+COUNTIFS('Car 5 - 00557'!$D$7:$D$300,$B24,'Car 5 - 00557'!$E$7:$E$300,"")</f>
        <v>0</v>
      </c>
      <c r="I24" s="109">
        <f>SUMIF('Car 6 - 00663'!$D$7:$D$300,$B24,'Car 6 - 00663'!$E$7:$E$300)+COUNTIFS('Car 6 - 00663'!$D$7:$D$300,$B24,'Car 6 - 00663'!$E$7:$E$300,"")</f>
        <v>0</v>
      </c>
      <c r="J24" s="109">
        <f>SUMIF('Car 7 - 00680'!$D$7:$D$300,$B24,'Car 7 - 00680'!$E$7:$E$300)+COUNTIFS('Car 7 - 00680'!$D$7:$D$300,$B24,'Car 7 - 00680'!$E$7:$E$300,"")</f>
        <v>0</v>
      </c>
      <c r="K24" s="109">
        <f>SUMIF('Car 8 - 00523'!$D$7:$D$300,$B24,'Car 8 - 00523'!$E$7:$E$300)+COUNTIFS('Car 8 - 00523'!$D$7:$D$300,$B24,'Car 8 - 00523'!$E$7:$E$300,"")</f>
        <v>0</v>
      </c>
      <c r="L24" s="109">
        <f>SUMIF('Car 9 - 00097'!$D$7:$D$300,$B24,'Car 9 - 00097'!$E$7:$E$300)+COUNTIFS('Car 9 - 00097'!$D$7:$D$300,$B24,'Car 9 - 00097'!$E$7:$E$300,"")</f>
        <v>0</v>
      </c>
      <c r="M24" s="109">
        <f>SUMIF('Car 10 - 01352'!$D$7:$D$300,$B24,'Car 10 - 01352'!$E$7:$E$300)+COUNTIFS('Car 10 - 01352'!$D$7:$D$300,$B24,'Car 10 - 01352'!$E$7:$E$300,"")</f>
        <v>1</v>
      </c>
      <c r="N24" s="109">
        <f>SUM(D24:M24)</f>
        <v>1</v>
      </c>
    </row>
    <row r="25">
      <c r="A25" s="108" t="inlineStr">
        <is>
          <t>NUT CONICAL M 10</t>
        </is>
      </c>
      <c r="B25" s="109" t="inlineStr">
        <is>
          <t>BF131486</t>
        </is>
      </c>
      <c r="C25" s="108" t="inlineStr">
        <is>
          <t>صاموله عجل</t>
        </is>
      </c>
      <c r="D25" s="109">
        <f>SUMIF('Car 1 - 00569'!$D$7:$D$300,$B25,'Car 1 - 00569'!$E$7:$E$300)+COUNTIFS('Car 1 - 00569'!$D$7:$D$300,$B25,'Car 1 - 00569'!$E$7:$E$300,"")</f>
        <v>0</v>
      </c>
      <c r="E25" s="109">
        <f>SUMIF('Car 2 - 01124'!$D$7:$D$300,$B25,'Car 2 - 01124'!$E$7:$E$300)+COUNTIFS('Car 2 - 01124'!$D$7:$D$300,$B25,'Car 2 - 01124'!$E$7:$E$300,"")</f>
        <v>0</v>
      </c>
      <c r="F25" s="109">
        <f>SUMIF('Car 3 - 00133'!$D$7:$D$300,$B25,'Car 3 - 00133'!$E$7:$E$300)+COUNTIFS('Car 3 - 00133'!$D$7:$D$300,$B25,'Car 3 - 00133'!$E$7:$E$300,"")</f>
        <v>6</v>
      </c>
      <c r="G25" s="109">
        <f>SUMIF('Car 4 - 00679'!$D$7:$D$300,$B25,'Car 4 - 00679'!$E$7:$E$300)+COUNTIFS('Car 4 - 00679'!$D$7:$D$300,$B25,'Car 4 - 00679'!$E$7:$E$300,"")</f>
        <v>0</v>
      </c>
      <c r="H25" s="109">
        <f>SUMIF('Car 5 - 00557'!$D$7:$D$300,$B25,'Car 5 - 00557'!$E$7:$E$300)+COUNTIFS('Car 5 - 00557'!$D$7:$D$300,$B25,'Car 5 - 00557'!$E$7:$E$300,"")</f>
        <v>0</v>
      </c>
      <c r="I25" s="109">
        <f>SUMIF('Car 6 - 00663'!$D$7:$D$300,$B25,'Car 6 - 00663'!$E$7:$E$300)+COUNTIFS('Car 6 - 00663'!$D$7:$D$300,$B25,'Car 6 - 00663'!$E$7:$E$300,"")</f>
        <v>0</v>
      </c>
      <c r="J25" s="109">
        <f>SUMIF('Car 7 - 00680'!$D$7:$D$300,$B25,'Car 7 - 00680'!$E$7:$E$300)+COUNTIFS('Car 7 - 00680'!$D$7:$D$300,$B25,'Car 7 - 00680'!$E$7:$E$300,"")</f>
        <v>6</v>
      </c>
      <c r="K25" s="109">
        <f>SUMIF('Car 8 - 00523'!$D$7:$D$300,$B25,'Car 8 - 00523'!$E$7:$E$300)+COUNTIFS('Car 8 - 00523'!$D$7:$D$300,$B25,'Car 8 - 00523'!$E$7:$E$300,"")</f>
        <v>0</v>
      </c>
      <c r="L25" s="109">
        <f>SUMIF('Car 9 - 00097'!$D$7:$D$300,$B25,'Car 9 - 00097'!$E$7:$E$300)+COUNTIFS('Car 9 - 00097'!$D$7:$D$300,$B25,'Car 9 - 00097'!$E$7:$E$300,"")</f>
        <v>0</v>
      </c>
      <c r="M25" s="109">
        <f>SUMIF('Car 10 - 01352'!$D$7:$D$300,$B25,'Car 10 - 01352'!$E$7:$E$300)+COUNTIFS('Car 10 - 01352'!$D$7:$D$300,$B25,'Car 10 - 01352'!$E$7:$E$300,"")</f>
        <v>0</v>
      </c>
      <c r="N25" s="109">
        <f>SUM(D25:M25)</f>
        <v>12</v>
      </c>
    </row>
    <row r="26">
      <c r="A26" s="108" t="inlineStr">
        <is>
          <t>HUB CAP - STEEL WHEEL</t>
        </is>
      </c>
      <c r="B26" s="109" t="inlineStr">
        <is>
          <t>BF131505</t>
        </is>
      </c>
      <c r="C26" s="108" t="inlineStr">
        <is>
          <t>غطاء عجل</t>
        </is>
      </c>
      <c r="D26" s="109">
        <f>SUMIF('Car 1 - 00569'!$D$7:$D$300,$B26,'Car 1 - 00569'!$E$7:$E$300)+COUNTIFS('Car 1 - 00569'!$D$7:$D$300,$B26,'Car 1 - 00569'!$E$7:$E$300,"")</f>
        <v>2</v>
      </c>
      <c r="E26" s="109">
        <f>SUMIF('Car 2 - 01124'!$D$7:$D$300,$B26,'Car 2 - 01124'!$E$7:$E$300)+COUNTIFS('Car 2 - 01124'!$D$7:$D$300,$B26,'Car 2 - 01124'!$E$7:$E$300,"")</f>
        <v>1</v>
      </c>
      <c r="F26" s="109">
        <f>SUMIF('Car 3 - 00133'!$D$7:$D$300,$B26,'Car 3 - 00133'!$E$7:$E$300)+COUNTIFS('Car 3 - 00133'!$D$7:$D$300,$B26,'Car 3 - 00133'!$E$7:$E$300,"")</f>
        <v>0</v>
      </c>
      <c r="G26" s="109">
        <f>SUMIF('Car 4 - 00679'!$D$7:$D$300,$B26,'Car 4 - 00679'!$E$7:$E$300)+COUNTIFS('Car 4 - 00679'!$D$7:$D$300,$B26,'Car 4 - 00679'!$E$7:$E$300,"")</f>
        <v>0</v>
      </c>
      <c r="H26" s="109">
        <f>SUMIF('Car 5 - 00557'!$D$7:$D$300,$B26,'Car 5 - 00557'!$E$7:$E$300)+COUNTIFS('Car 5 - 00557'!$D$7:$D$300,$B26,'Car 5 - 00557'!$E$7:$E$300,"")</f>
        <v>4</v>
      </c>
      <c r="I26" s="109">
        <f>SUMIF('Car 6 - 00663'!$D$7:$D$300,$B26,'Car 6 - 00663'!$E$7:$E$300)+COUNTIFS('Car 6 - 00663'!$D$7:$D$300,$B26,'Car 6 - 00663'!$E$7:$E$300,"")</f>
        <v>0</v>
      </c>
      <c r="J26" s="109">
        <f>SUMIF('Car 7 - 00680'!$D$7:$D$300,$B26,'Car 7 - 00680'!$E$7:$E$300)+COUNTIFS('Car 7 - 00680'!$D$7:$D$300,$B26,'Car 7 - 00680'!$E$7:$E$300,"")</f>
        <v>0</v>
      </c>
      <c r="K26" s="109">
        <f>SUMIF('Car 8 - 00523'!$D$7:$D$300,$B26,'Car 8 - 00523'!$E$7:$E$300)+COUNTIFS('Car 8 - 00523'!$D$7:$D$300,$B26,'Car 8 - 00523'!$E$7:$E$300,"")</f>
        <v>0</v>
      </c>
      <c r="L26" s="109">
        <f>SUMIF('Car 9 - 00097'!$D$7:$D$300,$B26,'Car 9 - 00097'!$E$7:$E$300)+COUNTIFS('Car 9 - 00097'!$D$7:$D$300,$B26,'Car 9 - 00097'!$E$7:$E$300,"")</f>
        <v>0</v>
      </c>
      <c r="M26" s="109">
        <f>SUMIF('Car 10 - 01352'!$D$7:$D$300,$B26,'Car 10 - 01352'!$E$7:$E$300)+COUNTIFS('Car 10 - 01352'!$D$7:$D$300,$B26,'Car 10 - 01352'!$E$7:$E$300,"")</f>
        <v>0</v>
      </c>
      <c r="N26" s="109">
        <f>SUM(D26:M26)</f>
        <v>7</v>
      </c>
    </row>
    <row r="27">
      <c r="A27" s="108" t="inlineStr">
        <is>
          <t>CABLE GEAR BLACK</t>
        </is>
      </c>
      <c r="B27" s="109" t="inlineStr">
        <is>
          <t>BF161243</t>
        </is>
      </c>
      <c r="C27" s="108" t="inlineStr">
        <is>
          <t>كابل غيار اسود</t>
        </is>
      </c>
      <c r="D27" s="109">
        <f>SUMIF('Car 1 - 00569'!$D$7:$D$300,$B27,'Car 1 - 00569'!$E$7:$E$300)+COUNTIFS('Car 1 - 00569'!$D$7:$D$300,$B27,'Car 1 - 00569'!$E$7:$E$300,"")</f>
        <v>0</v>
      </c>
      <c r="E27" s="109">
        <f>SUMIF('Car 2 - 01124'!$D$7:$D$300,$B27,'Car 2 - 01124'!$E$7:$E$300)+COUNTIFS('Car 2 - 01124'!$D$7:$D$300,$B27,'Car 2 - 01124'!$E$7:$E$300,"")</f>
        <v>0</v>
      </c>
      <c r="F27" s="109">
        <f>SUMIF('Car 3 - 00133'!$D$7:$D$300,$B27,'Car 3 - 00133'!$E$7:$E$300)+COUNTIFS('Car 3 - 00133'!$D$7:$D$300,$B27,'Car 3 - 00133'!$E$7:$E$300,"")</f>
        <v>1</v>
      </c>
      <c r="G27" s="109">
        <f>SUMIF('Car 4 - 00679'!$D$7:$D$300,$B27,'Car 4 - 00679'!$E$7:$E$300)+COUNTIFS('Car 4 - 00679'!$D$7:$D$300,$B27,'Car 4 - 00679'!$E$7:$E$300,"")</f>
        <v>0</v>
      </c>
      <c r="H27" s="109">
        <f>SUMIF('Car 5 - 00557'!$D$7:$D$300,$B27,'Car 5 - 00557'!$E$7:$E$300)+COUNTIFS('Car 5 - 00557'!$D$7:$D$300,$B27,'Car 5 - 00557'!$E$7:$E$300,"")</f>
        <v>0</v>
      </c>
      <c r="I27" s="109">
        <f>SUMIF('Car 6 - 00663'!$D$7:$D$300,$B27,'Car 6 - 00663'!$E$7:$E$300)+COUNTIFS('Car 6 - 00663'!$D$7:$D$300,$B27,'Car 6 - 00663'!$E$7:$E$300,"")</f>
        <v>0</v>
      </c>
      <c r="J27" s="109">
        <f>SUMIF('Car 7 - 00680'!$D$7:$D$300,$B27,'Car 7 - 00680'!$E$7:$E$300)+COUNTIFS('Car 7 - 00680'!$D$7:$D$300,$B27,'Car 7 - 00680'!$E$7:$E$300,"")</f>
        <v>0</v>
      </c>
      <c r="K27" s="109">
        <f>SUMIF('Car 8 - 00523'!$D$7:$D$300,$B27,'Car 8 - 00523'!$E$7:$E$300)+COUNTIFS('Car 8 - 00523'!$D$7:$D$300,$B27,'Car 8 - 00523'!$E$7:$E$300,"")</f>
        <v>0</v>
      </c>
      <c r="L27" s="109">
        <f>SUMIF('Car 9 - 00097'!$D$7:$D$300,$B27,'Car 9 - 00097'!$E$7:$E$300)+COUNTIFS('Car 9 - 00097'!$D$7:$D$300,$B27,'Car 9 - 00097'!$E$7:$E$300,"")</f>
        <v>0</v>
      </c>
      <c r="M27" s="109">
        <f>SUMIF('Car 10 - 01352'!$D$7:$D$300,$B27,'Car 10 - 01352'!$E$7:$E$300)+COUNTIFS('Car 10 - 01352'!$D$7:$D$300,$B27,'Car 10 - 01352'!$E$7:$E$300,"")</f>
        <v>0</v>
      </c>
      <c r="N27" s="109">
        <f>SUM(D27:M27)</f>
        <v>1</v>
      </c>
    </row>
    <row r="28">
      <c r="A28" s="108" t="inlineStr">
        <is>
          <t>BUMPER FRONT</t>
        </is>
      </c>
      <c r="B28" s="109" t="inlineStr">
        <is>
          <t>BF182006</t>
        </is>
      </c>
      <c r="C28" s="108" t="inlineStr">
        <is>
          <t>اكصدام أمامي</t>
        </is>
      </c>
      <c r="D28" s="109">
        <f>SUMIF('Car 1 - 00569'!$D$7:$D$300,$B28,'Car 1 - 00569'!$E$7:$E$300)+COUNTIFS('Car 1 - 00569'!$D$7:$D$300,$B28,'Car 1 - 00569'!$E$7:$E$300,"")</f>
        <v>0</v>
      </c>
      <c r="E28" s="109">
        <f>SUMIF('Car 2 - 01124'!$D$7:$D$300,$B28,'Car 2 - 01124'!$E$7:$E$300)+COUNTIFS('Car 2 - 01124'!$D$7:$D$300,$B28,'Car 2 - 01124'!$E$7:$E$300,"")</f>
        <v>1</v>
      </c>
      <c r="F28" s="109">
        <f>SUMIF('Car 3 - 00133'!$D$7:$D$300,$B28,'Car 3 - 00133'!$E$7:$E$300)+COUNTIFS('Car 3 - 00133'!$D$7:$D$300,$B28,'Car 3 - 00133'!$E$7:$E$300,"")</f>
        <v>0</v>
      </c>
      <c r="G28" s="109">
        <f>SUMIF('Car 4 - 00679'!$D$7:$D$300,$B28,'Car 4 - 00679'!$E$7:$E$300)+COUNTIFS('Car 4 - 00679'!$D$7:$D$300,$B28,'Car 4 - 00679'!$E$7:$E$300,"")</f>
        <v>1</v>
      </c>
      <c r="H28" s="109">
        <f>SUMIF('Car 5 - 00557'!$D$7:$D$300,$B28,'Car 5 - 00557'!$E$7:$E$300)+COUNTIFS('Car 5 - 00557'!$D$7:$D$300,$B28,'Car 5 - 00557'!$E$7:$E$300,"")</f>
        <v>0</v>
      </c>
      <c r="I28" s="109">
        <f>SUMIF('Car 6 - 00663'!$D$7:$D$300,$B28,'Car 6 - 00663'!$E$7:$E$300)+COUNTIFS('Car 6 - 00663'!$D$7:$D$300,$B28,'Car 6 - 00663'!$E$7:$E$300,"")</f>
        <v>0</v>
      </c>
      <c r="J28" s="109">
        <f>SUMIF('Car 7 - 00680'!$D$7:$D$300,$B28,'Car 7 - 00680'!$E$7:$E$300)+COUNTIFS('Car 7 - 00680'!$D$7:$D$300,$B28,'Car 7 - 00680'!$E$7:$E$300,"")</f>
        <v>0</v>
      </c>
      <c r="K28" s="109">
        <f>SUMIF('Car 8 - 00523'!$D$7:$D$300,$B28,'Car 8 - 00523'!$E$7:$E$300)+COUNTIFS('Car 8 - 00523'!$D$7:$D$300,$B28,'Car 8 - 00523'!$E$7:$E$300,"")</f>
        <v>0</v>
      </c>
      <c r="L28" s="109">
        <f>SUMIF('Car 9 - 00097'!$D$7:$D$300,$B28,'Car 9 - 00097'!$E$7:$E$300)+COUNTIFS('Car 9 - 00097'!$D$7:$D$300,$B28,'Car 9 - 00097'!$E$7:$E$300,"")</f>
        <v>0</v>
      </c>
      <c r="M28" s="109">
        <f>SUMIF('Car 10 - 01352'!$D$7:$D$300,$B28,'Car 10 - 01352'!$E$7:$E$300)+COUNTIFS('Car 10 - 01352'!$D$7:$D$300,$B28,'Car 10 - 01352'!$E$7:$E$300,"")</f>
        <v>1</v>
      </c>
      <c r="N28" s="109">
        <f>SUM(D28:M28)</f>
        <v>3</v>
      </c>
    </row>
    <row r="29">
      <c r="A29" s="108" t="inlineStr">
        <is>
          <t>BUMPER REAR LH</t>
        </is>
      </c>
      <c r="B29" s="109" t="inlineStr">
        <is>
          <t>BF182008</t>
        </is>
      </c>
      <c r="C29" s="108" t="inlineStr">
        <is>
          <t>الصدام خلفي يمين وشمال</t>
        </is>
      </c>
      <c r="D29" s="109">
        <f>SUMIF('Car 1 - 00569'!$D$7:$D$300,$B29,'Car 1 - 00569'!$E$7:$E$300)+COUNTIFS('Car 1 - 00569'!$D$7:$D$300,$B29,'Car 1 - 00569'!$E$7:$E$300,"")</f>
        <v>0</v>
      </c>
      <c r="E29" s="109">
        <f>SUMIF('Car 2 - 01124'!$D$7:$D$300,$B29,'Car 2 - 01124'!$E$7:$E$300)+COUNTIFS('Car 2 - 01124'!$D$7:$D$300,$B29,'Car 2 - 01124'!$E$7:$E$300,"")</f>
        <v>0</v>
      </c>
      <c r="F29" s="109">
        <f>SUMIF('Car 3 - 00133'!$D$7:$D$300,$B29,'Car 3 - 00133'!$E$7:$E$300)+COUNTIFS('Car 3 - 00133'!$D$7:$D$300,$B29,'Car 3 - 00133'!$E$7:$E$300,"")</f>
        <v>0</v>
      </c>
      <c r="G29" s="109">
        <f>SUMIF('Car 4 - 00679'!$D$7:$D$300,$B29,'Car 4 - 00679'!$E$7:$E$300)+COUNTIFS('Car 4 - 00679'!$D$7:$D$300,$B29,'Car 4 - 00679'!$E$7:$E$300,"")</f>
        <v>0</v>
      </c>
      <c r="H29" s="109">
        <f>SUMIF('Car 5 - 00557'!$D$7:$D$300,$B29,'Car 5 - 00557'!$E$7:$E$300)+COUNTIFS('Car 5 - 00557'!$D$7:$D$300,$B29,'Car 5 - 00557'!$E$7:$E$300,"")</f>
        <v>0</v>
      </c>
      <c r="I29" s="109">
        <f>SUMIF('Car 6 - 00663'!$D$7:$D$300,$B29,'Car 6 - 00663'!$E$7:$E$300)+COUNTIFS('Car 6 - 00663'!$D$7:$D$300,$B29,'Car 6 - 00663'!$E$7:$E$300,"")</f>
        <v>0</v>
      </c>
      <c r="J29" s="109">
        <f>SUMIF('Car 7 - 00680'!$D$7:$D$300,$B29,'Car 7 - 00680'!$E$7:$E$300)+COUNTIFS('Car 7 - 00680'!$D$7:$D$300,$B29,'Car 7 - 00680'!$E$7:$E$300,"")</f>
        <v>0</v>
      </c>
      <c r="K29" s="109">
        <f>SUMIF('Car 8 - 00523'!$D$7:$D$300,$B29,'Car 8 - 00523'!$E$7:$E$300)+COUNTIFS('Car 8 - 00523'!$D$7:$D$300,$B29,'Car 8 - 00523'!$E$7:$E$300,"")</f>
        <v>0</v>
      </c>
      <c r="L29" s="109">
        <f>SUMIF('Car 9 - 00097'!$D$7:$D$300,$B29,'Car 9 - 00097'!$E$7:$E$300)+COUNTIFS('Car 9 - 00097'!$D$7:$D$300,$B29,'Car 9 - 00097'!$E$7:$E$300,"")</f>
        <v>0</v>
      </c>
      <c r="M29" s="109">
        <f>SUMIF('Car 10 - 01352'!$D$7:$D$300,$B29,'Car 10 - 01352'!$E$7:$E$300)+COUNTIFS('Car 10 - 01352'!$D$7:$D$300,$B29,'Car 10 - 01352'!$E$7:$E$300,"")</f>
        <v>1</v>
      </c>
      <c r="N29" s="109">
        <f>SUM(D29:M29)</f>
        <v>1</v>
      </c>
    </row>
    <row r="30">
      <c r="A30" s="108" t="inlineStr">
        <is>
          <t>BUMPER REAR RH</t>
        </is>
      </c>
      <c r="B30" s="109" t="inlineStr">
        <is>
          <t>BF182009</t>
        </is>
      </c>
      <c r="C30" s="108" t="inlineStr">
        <is>
          <t>فبرة الصدام جانبية يمين</t>
        </is>
      </c>
      <c r="D30" s="109">
        <f>SUMIF('Car 1 - 00569'!$D$7:$D$300,$B30,'Car 1 - 00569'!$E$7:$E$300)+COUNTIFS('Car 1 - 00569'!$D$7:$D$300,$B30,'Car 1 - 00569'!$E$7:$E$300,"")</f>
        <v>0</v>
      </c>
      <c r="E30" s="109">
        <f>SUMIF('Car 2 - 01124'!$D$7:$D$300,$B30,'Car 2 - 01124'!$E$7:$E$300)+COUNTIFS('Car 2 - 01124'!$D$7:$D$300,$B30,'Car 2 - 01124'!$E$7:$E$300,"")</f>
        <v>0</v>
      </c>
      <c r="F30" s="109">
        <f>SUMIF('Car 3 - 00133'!$D$7:$D$300,$B30,'Car 3 - 00133'!$E$7:$E$300)+COUNTIFS('Car 3 - 00133'!$D$7:$D$300,$B30,'Car 3 - 00133'!$E$7:$E$300,"")</f>
        <v>0</v>
      </c>
      <c r="G30" s="109">
        <f>SUMIF('Car 4 - 00679'!$D$7:$D$300,$B30,'Car 4 - 00679'!$E$7:$E$300)+COUNTIFS('Car 4 - 00679'!$D$7:$D$300,$B30,'Car 4 - 00679'!$E$7:$E$300,"")</f>
        <v>0</v>
      </c>
      <c r="H30" s="109">
        <f>SUMIF('Car 5 - 00557'!$D$7:$D$300,$B30,'Car 5 - 00557'!$E$7:$E$300)+COUNTIFS('Car 5 - 00557'!$D$7:$D$300,$B30,'Car 5 - 00557'!$E$7:$E$300,"")</f>
        <v>0</v>
      </c>
      <c r="I30" s="109">
        <f>SUMIF('Car 6 - 00663'!$D$7:$D$300,$B30,'Car 6 - 00663'!$E$7:$E$300)+COUNTIFS('Car 6 - 00663'!$D$7:$D$300,$B30,'Car 6 - 00663'!$E$7:$E$300,"")</f>
        <v>0</v>
      </c>
      <c r="J30" s="109">
        <f>SUMIF('Car 7 - 00680'!$D$7:$D$300,$B30,'Car 7 - 00680'!$E$7:$E$300)+COUNTIFS('Car 7 - 00680'!$D$7:$D$300,$B30,'Car 7 - 00680'!$E$7:$E$300,"")</f>
        <v>0</v>
      </c>
      <c r="K30" s="109">
        <f>SUMIF('Car 8 - 00523'!$D$7:$D$300,$B30,'Car 8 - 00523'!$E$7:$E$300)+COUNTIFS('Car 8 - 00523'!$D$7:$D$300,$B30,'Car 8 - 00523'!$E$7:$E$300,"")</f>
        <v>0</v>
      </c>
      <c r="L30" s="109">
        <f>SUMIF('Car 9 - 00097'!$D$7:$D$300,$B30,'Car 9 - 00097'!$E$7:$E$300)+COUNTIFS('Car 9 - 00097'!$D$7:$D$300,$B30,'Car 9 - 00097'!$E$7:$E$300,"")</f>
        <v>0</v>
      </c>
      <c r="M30" s="109">
        <f>SUMIF('Car 10 - 01352'!$D$7:$D$300,$B30,'Car 10 - 01352'!$E$7:$E$300)+COUNTIFS('Car 10 - 01352'!$D$7:$D$300,$B30,'Car 10 - 01352'!$E$7:$E$300,"")</f>
        <v>1</v>
      </c>
      <c r="N30" s="109">
        <f>SUM(D30:M30)</f>
        <v>1</v>
      </c>
    </row>
    <row r="31">
      <c r="A31" s="108" t="inlineStr">
        <is>
          <t>HOUSING SWITCH LHD</t>
        </is>
      </c>
      <c r="B31" s="109" t="inlineStr">
        <is>
          <t>BF182300</t>
        </is>
      </c>
      <c r="C31" s="108" t="inlineStr">
        <is>
          <t>وش مفتاح إنذار</t>
        </is>
      </c>
      <c r="D31" s="109">
        <f>SUMIF('Car 1 - 00569'!$D$7:$D$300,$B31,'Car 1 - 00569'!$E$7:$E$300)+COUNTIFS('Car 1 - 00569'!$D$7:$D$300,$B31,'Car 1 - 00569'!$E$7:$E$300,"")</f>
        <v>0</v>
      </c>
      <c r="E31" s="109">
        <f>SUMIF('Car 2 - 01124'!$D$7:$D$300,$B31,'Car 2 - 01124'!$E$7:$E$300)+COUNTIFS('Car 2 - 01124'!$D$7:$D$300,$B31,'Car 2 - 01124'!$E$7:$E$300,"")</f>
        <v>0</v>
      </c>
      <c r="F31" s="109">
        <f>SUMIF('Car 3 - 00133'!$D$7:$D$300,$B31,'Car 3 - 00133'!$E$7:$E$300)+COUNTIFS('Car 3 - 00133'!$D$7:$D$300,$B31,'Car 3 - 00133'!$E$7:$E$300,"")</f>
        <v>1</v>
      </c>
      <c r="G31" s="109">
        <f>SUMIF('Car 4 - 00679'!$D$7:$D$300,$B31,'Car 4 - 00679'!$E$7:$E$300)+COUNTIFS('Car 4 - 00679'!$D$7:$D$300,$B31,'Car 4 - 00679'!$E$7:$E$300,"")</f>
        <v>0</v>
      </c>
      <c r="H31" s="109">
        <f>SUMIF('Car 5 - 00557'!$D$7:$D$300,$B31,'Car 5 - 00557'!$E$7:$E$300)+COUNTIFS('Car 5 - 00557'!$D$7:$D$300,$B31,'Car 5 - 00557'!$E$7:$E$300,"")</f>
        <v>1</v>
      </c>
      <c r="I31" s="109">
        <f>SUMIF('Car 6 - 00663'!$D$7:$D$300,$B31,'Car 6 - 00663'!$E$7:$E$300)+COUNTIFS('Car 6 - 00663'!$D$7:$D$300,$B31,'Car 6 - 00663'!$E$7:$E$300,"")</f>
        <v>0</v>
      </c>
      <c r="J31" s="109">
        <f>SUMIF('Car 7 - 00680'!$D$7:$D$300,$B31,'Car 7 - 00680'!$E$7:$E$300)+COUNTIFS('Car 7 - 00680'!$D$7:$D$300,$B31,'Car 7 - 00680'!$E$7:$E$300,"")</f>
        <v>0</v>
      </c>
      <c r="K31" s="109">
        <f>SUMIF('Car 8 - 00523'!$D$7:$D$300,$B31,'Car 8 - 00523'!$E$7:$E$300)+COUNTIFS('Car 8 - 00523'!$D$7:$D$300,$B31,'Car 8 - 00523'!$E$7:$E$300,"")</f>
        <v>0</v>
      </c>
      <c r="L31" s="109">
        <f>SUMIF('Car 9 - 00097'!$D$7:$D$300,$B31,'Car 9 - 00097'!$E$7:$E$300)+COUNTIFS('Car 9 - 00097'!$D$7:$D$300,$B31,'Car 9 - 00097'!$E$7:$E$300,"")</f>
        <v>1</v>
      </c>
      <c r="M31" s="109">
        <f>SUMIF('Car 10 - 01352'!$D$7:$D$300,$B31,'Car 10 - 01352'!$E$7:$E$300)+COUNTIFS('Car 10 - 01352'!$D$7:$D$300,$B31,'Car 10 - 01352'!$E$7:$E$300,"")</f>
        <v>0</v>
      </c>
      <c r="N31" s="109">
        <f>SUM(D31:M31)</f>
        <v>3</v>
      </c>
    </row>
    <row r="32">
      <c r="A32" s="108" t="inlineStr">
        <is>
          <t>DOOR TRIM PANEL FRONT RH</t>
        </is>
      </c>
      <c r="B32" s="109" t="inlineStr">
        <is>
          <t>BF182403</t>
        </is>
      </c>
      <c r="C32" s="108" t="inlineStr">
        <is>
          <t>فبرة درج باب أمامي يمين</t>
        </is>
      </c>
      <c r="D32" s="109">
        <f>SUMIF('Car 1 - 00569'!$D$7:$D$300,$B32,'Car 1 - 00569'!$E$7:$E$300)+COUNTIFS('Car 1 - 00569'!$D$7:$D$300,$B32,'Car 1 - 00569'!$E$7:$E$300,"")</f>
        <v>1</v>
      </c>
      <c r="E32" s="109">
        <f>SUMIF('Car 2 - 01124'!$D$7:$D$300,$B32,'Car 2 - 01124'!$E$7:$E$300)+COUNTIFS('Car 2 - 01124'!$D$7:$D$300,$B32,'Car 2 - 01124'!$E$7:$E$300,"")</f>
        <v>0</v>
      </c>
      <c r="F32" s="109">
        <f>SUMIF('Car 3 - 00133'!$D$7:$D$300,$B32,'Car 3 - 00133'!$E$7:$E$300)+COUNTIFS('Car 3 - 00133'!$D$7:$D$300,$B32,'Car 3 - 00133'!$E$7:$E$300,"")</f>
        <v>1</v>
      </c>
      <c r="G32" s="109">
        <f>SUMIF('Car 4 - 00679'!$D$7:$D$300,$B32,'Car 4 - 00679'!$E$7:$E$300)+COUNTIFS('Car 4 - 00679'!$D$7:$D$300,$B32,'Car 4 - 00679'!$E$7:$E$300,"")</f>
        <v>1</v>
      </c>
      <c r="H32" s="109">
        <f>SUMIF('Car 5 - 00557'!$D$7:$D$300,$B32,'Car 5 - 00557'!$E$7:$E$300)+COUNTIFS('Car 5 - 00557'!$D$7:$D$300,$B32,'Car 5 - 00557'!$E$7:$E$300,"")</f>
        <v>0</v>
      </c>
      <c r="I32" s="109">
        <f>SUMIF('Car 6 - 00663'!$D$7:$D$300,$B32,'Car 6 - 00663'!$E$7:$E$300)+COUNTIFS('Car 6 - 00663'!$D$7:$D$300,$B32,'Car 6 - 00663'!$E$7:$E$300,"")</f>
        <v>0</v>
      </c>
      <c r="J32" s="109">
        <f>SUMIF('Car 7 - 00680'!$D$7:$D$300,$B32,'Car 7 - 00680'!$E$7:$E$300)+COUNTIFS('Car 7 - 00680'!$D$7:$D$300,$B32,'Car 7 - 00680'!$E$7:$E$300,"")</f>
        <v>1</v>
      </c>
      <c r="K32" s="109">
        <f>SUMIF('Car 8 - 00523'!$D$7:$D$300,$B32,'Car 8 - 00523'!$E$7:$E$300)+COUNTIFS('Car 8 - 00523'!$D$7:$D$300,$B32,'Car 8 - 00523'!$E$7:$E$300,"")</f>
        <v>1</v>
      </c>
      <c r="L32" s="109">
        <f>SUMIF('Car 9 - 00097'!$D$7:$D$300,$B32,'Car 9 - 00097'!$E$7:$E$300)+COUNTIFS('Car 9 - 00097'!$D$7:$D$300,$B32,'Car 9 - 00097'!$E$7:$E$300,"")</f>
        <v>0</v>
      </c>
      <c r="M32" s="109">
        <f>SUMIF('Car 10 - 01352'!$D$7:$D$300,$B32,'Car 10 - 01352'!$E$7:$E$300)+COUNTIFS('Car 10 - 01352'!$D$7:$D$300,$B32,'Car 10 - 01352'!$E$7:$E$300,"")</f>
        <v>0</v>
      </c>
      <c r="N32" s="109">
        <f>SUM(D32:M32)</f>
        <v>5</v>
      </c>
    </row>
    <row r="33">
      <c r="A33" s="108" t="inlineStr">
        <is>
          <t>DOOR TRIM PANEL REAR RH</t>
        </is>
      </c>
      <c r="B33" s="109" t="inlineStr">
        <is>
          <t>BF182435</t>
        </is>
      </c>
      <c r="C33" s="108" t="inlineStr">
        <is>
          <t>فبرة سفلية باب خلفي يمين</t>
        </is>
      </c>
      <c r="D33" s="109">
        <f>SUMIF('Car 1 - 00569'!$D$7:$D$300,$B33,'Car 1 - 00569'!$E$7:$E$300)+COUNTIFS('Car 1 - 00569'!$D$7:$D$300,$B33,'Car 1 - 00569'!$E$7:$E$300,"")</f>
        <v>0</v>
      </c>
      <c r="E33" s="109">
        <f>SUMIF('Car 2 - 01124'!$D$7:$D$300,$B33,'Car 2 - 01124'!$E$7:$E$300)+COUNTIFS('Car 2 - 01124'!$D$7:$D$300,$B33,'Car 2 - 01124'!$E$7:$E$300,"")</f>
        <v>0</v>
      </c>
      <c r="F33" s="109">
        <f>SUMIF('Car 3 - 00133'!$D$7:$D$300,$B33,'Car 3 - 00133'!$E$7:$E$300)+COUNTIFS('Car 3 - 00133'!$D$7:$D$300,$B33,'Car 3 - 00133'!$E$7:$E$300,"")</f>
        <v>2</v>
      </c>
      <c r="G33" s="109">
        <f>SUMIF('Car 4 - 00679'!$D$7:$D$300,$B33,'Car 4 - 00679'!$E$7:$E$300)+COUNTIFS('Car 4 - 00679'!$D$7:$D$300,$B33,'Car 4 - 00679'!$E$7:$E$300,"")</f>
        <v>0</v>
      </c>
      <c r="H33" s="109">
        <f>SUMIF('Car 5 - 00557'!$D$7:$D$300,$B33,'Car 5 - 00557'!$E$7:$E$300)+COUNTIFS('Car 5 - 00557'!$D$7:$D$300,$B33,'Car 5 - 00557'!$E$7:$E$300,"")</f>
        <v>0</v>
      </c>
      <c r="I33" s="109">
        <f>SUMIF('Car 6 - 00663'!$D$7:$D$300,$B33,'Car 6 - 00663'!$E$7:$E$300)+COUNTIFS('Car 6 - 00663'!$D$7:$D$300,$B33,'Car 6 - 00663'!$E$7:$E$300,"")</f>
        <v>0</v>
      </c>
      <c r="J33" s="109">
        <f>SUMIF('Car 7 - 00680'!$D$7:$D$300,$B33,'Car 7 - 00680'!$E$7:$E$300)+COUNTIFS('Car 7 - 00680'!$D$7:$D$300,$B33,'Car 7 - 00680'!$E$7:$E$300,"")</f>
        <v>0</v>
      </c>
      <c r="K33" s="109">
        <f>SUMIF('Car 8 - 00523'!$D$7:$D$300,$B33,'Car 8 - 00523'!$E$7:$E$300)+COUNTIFS('Car 8 - 00523'!$D$7:$D$300,$B33,'Car 8 - 00523'!$E$7:$E$300,"")</f>
        <v>0</v>
      </c>
      <c r="L33" s="109">
        <f>SUMIF('Car 9 - 00097'!$D$7:$D$300,$B33,'Car 9 - 00097'!$E$7:$E$300)+COUNTIFS('Car 9 - 00097'!$D$7:$D$300,$B33,'Car 9 - 00097'!$E$7:$E$300,"")</f>
        <v>0</v>
      </c>
      <c r="M33" s="109">
        <f>SUMIF('Car 10 - 01352'!$D$7:$D$300,$B33,'Car 10 - 01352'!$E$7:$E$300)+COUNTIFS('Car 10 - 01352'!$D$7:$D$300,$B33,'Car 10 - 01352'!$E$7:$E$300,"")</f>
        <v>0</v>
      </c>
      <c r="N33" s="109">
        <f>SUM(D33:M33)</f>
        <v>2</v>
      </c>
    </row>
    <row r="34">
      <c r="A34" s="108" t="inlineStr">
        <is>
          <t>COVER MIDDLE UPPER CNG</t>
        </is>
      </c>
      <c r="B34" s="109" t="inlineStr">
        <is>
          <t>BF182588</t>
        </is>
      </c>
      <c r="C34" s="108" t="inlineStr">
        <is>
          <t>فبرة كونسولة</t>
        </is>
      </c>
      <c r="D34" s="109">
        <f>SUMIF('Car 1 - 00569'!$D$7:$D$300,$B34,'Car 1 - 00569'!$E$7:$E$300)+COUNTIFS('Car 1 - 00569'!$D$7:$D$300,$B34,'Car 1 - 00569'!$E$7:$E$300,"")</f>
        <v>0</v>
      </c>
      <c r="E34" s="109">
        <f>SUMIF('Car 2 - 01124'!$D$7:$D$300,$B34,'Car 2 - 01124'!$E$7:$E$300)+COUNTIFS('Car 2 - 01124'!$D$7:$D$300,$B34,'Car 2 - 01124'!$E$7:$E$300,"")</f>
        <v>1</v>
      </c>
      <c r="F34" s="109">
        <f>SUMIF('Car 3 - 00133'!$D$7:$D$300,$B34,'Car 3 - 00133'!$E$7:$E$300)+COUNTIFS('Car 3 - 00133'!$D$7:$D$300,$B34,'Car 3 - 00133'!$E$7:$E$300,"")</f>
        <v>0</v>
      </c>
      <c r="G34" s="109">
        <f>SUMIF('Car 4 - 00679'!$D$7:$D$300,$B34,'Car 4 - 00679'!$E$7:$E$300)+COUNTIFS('Car 4 - 00679'!$D$7:$D$300,$B34,'Car 4 - 00679'!$E$7:$E$300,"")</f>
        <v>0</v>
      </c>
      <c r="H34" s="109">
        <f>SUMIF('Car 5 - 00557'!$D$7:$D$300,$B34,'Car 5 - 00557'!$E$7:$E$300)+COUNTIFS('Car 5 - 00557'!$D$7:$D$300,$B34,'Car 5 - 00557'!$E$7:$E$300,"")</f>
        <v>1</v>
      </c>
      <c r="I34" s="109">
        <f>SUMIF('Car 6 - 00663'!$D$7:$D$300,$B34,'Car 6 - 00663'!$E$7:$E$300)+COUNTIFS('Car 6 - 00663'!$D$7:$D$300,$B34,'Car 6 - 00663'!$E$7:$E$300,"")</f>
        <v>0</v>
      </c>
      <c r="J34" s="109">
        <f>SUMIF('Car 7 - 00680'!$D$7:$D$300,$B34,'Car 7 - 00680'!$E$7:$E$300)+COUNTIFS('Car 7 - 00680'!$D$7:$D$300,$B34,'Car 7 - 00680'!$E$7:$E$300,"")</f>
        <v>0</v>
      </c>
      <c r="K34" s="109">
        <f>SUMIF('Car 8 - 00523'!$D$7:$D$300,$B34,'Car 8 - 00523'!$E$7:$E$300)+COUNTIFS('Car 8 - 00523'!$D$7:$D$300,$B34,'Car 8 - 00523'!$E$7:$E$300,"")</f>
        <v>0</v>
      </c>
      <c r="L34" s="109">
        <f>SUMIF('Car 9 - 00097'!$D$7:$D$300,$B34,'Car 9 - 00097'!$E$7:$E$300)+COUNTIFS('Car 9 - 00097'!$D$7:$D$300,$B34,'Car 9 - 00097'!$E$7:$E$300,"")</f>
        <v>2</v>
      </c>
      <c r="M34" s="109">
        <f>SUMIF('Car 10 - 01352'!$D$7:$D$300,$B34,'Car 10 - 01352'!$E$7:$E$300)+COUNTIFS('Car 10 - 01352'!$D$7:$D$300,$B34,'Car 10 - 01352'!$E$7:$E$300,"")</f>
        <v>0</v>
      </c>
      <c r="N34" s="109">
        <f>SUM(D34:M34)</f>
        <v>4</v>
      </c>
    </row>
    <row r="35">
      <c r="A35" s="108" t="inlineStr">
        <is>
          <t>COVER SIDE RH CNG</t>
        </is>
      </c>
      <c r="B35" s="109" t="inlineStr">
        <is>
          <t>BF182590</t>
        </is>
      </c>
      <c r="C35" s="108" t="inlineStr">
        <is>
          <t>ضمن: دلايات ماتور</t>
        </is>
      </c>
      <c r="D35" s="109">
        <f>SUMIF('Car 1 - 00569'!$D$7:$D$300,$B35,'Car 1 - 00569'!$E$7:$E$300)+COUNTIFS('Car 1 - 00569'!$D$7:$D$300,$B35,'Car 1 - 00569'!$E$7:$E$300,"")</f>
        <v>0</v>
      </c>
      <c r="E35" s="109">
        <f>SUMIF('Car 2 - 01124'!$D$7:$D$300,$B35,'Car 2 - 01124'!$E$7:$E$300)+COUNTIFS('Car 2 - 01124'!$D$7:$D$300,$B35,'Car 2 - 01124'!$E$7:$E$300,"")</f>
        <v>0</v>
      </c>
      <c r="F35" s="109">
        <f>SUMIF('Car 3 - 00133'!$D$7:$D$300,$B35,'Car 3 - 00133'!$E$7:$E$300)+COUNTIFS('Car 3 - 00133'!$D$7:$D$300,$B35,'Car 3 - 00133'!$E$7:$E$300,"")</f>
        <v>0</v>
      </c>
      <c r="G35" s="109">
        <f>SUMIF('Car 4 - 00679'!$D$7:$D$300,$B35,'Car 4 - 00679'!$E$7:$E$300)+COUNTIFS('Car 4 - 00679'!$D$7:$D$300,$B35,'Car 4 - 00679'!$E$7:$E$300,"")</f>
        <v>1</v>
      </c>
      <c r="H35" s="109">
        <f>SUMIF('Car 5 - 00557'!$D$7:$D$300,$B35,'Car 5 - 00557'!$E$7:$E$300)+COUNTIFS('Car 5 - 00557'!$D$7:$D$300,$B35,'Car 5 - 00557'!$E$7:$E$300,"")</f>
        <v>1</v>
      </c>
      <c r="I35" s="109">
        <f>SUMIF('Car 6 - 00663'!$D$7:$D$300,$B35,'Car 6 - 00663'!$E$7:$E$300)+COUNTIFS('Car 6 - 00663'!$D$7:$D$300,$B35,'Car 6 - 00663'!$E$7:$E$300,"")</f>
        <v>0</v>
      </c>
      <c r="J35" s="109">
        <f>SUMIF('Car 7 - 00680'!$D$7:$D$300,$B35,'Car 7 - 00680'!$E$7:$E$300)+COUNTIFS('Car 7 - 00680'!$D$7:$D$300,$B35,'Car 7 - 00680'!$E$7:$E$300,"")</f>
        <v>0</v>
      </c>
      <c r="K35" s="109">
        <f>SUMIF('Car 8 - 00523'!$D$7:$D$300,$B35,'Car 8 - 00523'!$E$7:$E$300)+COUNTIFS('Car 8 - 00523'!$D$7:$D$300,$B35,'Car 8 - 00523'!$E$7:$E$300,"")</f>
        <v>0</v>
      </c>
      <c r="L35" s="109">
        <f>SUMIF('Car 9 - 00097'!$D$7:$D$300,$B35,'Car 9 - 00097'!$E$7:$E$300)+COUNTIFS('Car 9 - 00097'!$D$7:$D$300,$B35,'Car 9 - 00097'!$E$7:$E$300,"")</f>
        <v>1</v>
      </c>
      <c r="M35" s="109">
        <f>SUMIF('Car 10 - 01352'!$D$7:$D$300,$B35,'Car 10 - 01352'!$E$7:$E$300)+COUNTIFS('Car 10 - 01352'!$D$7:$D$300,$B35,'Car 10 - 01352'!$E$7:$E$300,"")</f>
        <v>1</v>
      </c>
      <c r="N35" s="109">
        <f>SUM(D35:M35)</f>
        <v>4</v>
      </c>
    </row>
    <row r="36">
      <c r="A36" s="108" t="inlineStr">
        <is>
          <t>COVER SIDE LH CNG</t>
        </is>
      </c>
      <c r="B36" s="109" t="inlineStr">
        <is>
          <t>BF182591</t>
        </is>
      </c>
      <c r="C36" s="108" t="inlineStr">
        <is>
          <t>دلايات ماتور</t>
        </is>
      </c>
      <c r="D36" s="109">
        <f>SUMIF('Car 1 - 00569'!$D$7:$D$300,$B36,'Car 1 - 00569'!$E$7:$E$300)+COUNTIFS('Car 1 - 00569'!$D$7:$D$300,$B36,'Car 1 - 00569'!$E$7:$E$300,"")</f>
        <v>0</v>
      </c>
      <c r="E36" s="109">
        <f>SUMIF('Car 2 - 01124'!$D$7:$D$300,$B36,'Car 2 - 01124'!$E$7:$E$300)+COUNTIFS('Car 2 - 01124'!$D$7:$D$300,$B36,'Car 2 - 01124'!$E$7:$E$300,"")</f>
        <v>0</v>
      </c>
      <c r="F36" s="109">
        <f>SUMIF('Car 3 - 00133'!$D$7:$D$300,$B36,'Car 3 - 00133'!$E$7:$E$300)+COUNTIFS('Car 3 - 00133'!$D$7:$D$300,$B36,'Car 3 - 00133'!$E$7:$E$300,"")</f>
        <v>0</v>
      </c>
      <c r="G36" s="109">
        <f>SUMIF('Car 4 - 00679'!$D$7:$D$300,$B36,'Car 4 - 00679'!$E$7:$E$300)+COUNTIFS('Car 4 - 00679'!$D$7:$D$300,$B36,'Car 4 - 00679'!$E$7:$E$300,"")</f>
        <v>1</v>
      </c>
      <c r="H36" s="109">
        <f>SUMIF('Car 5 - 00557'!$D$7:$D$300,$B36,'Car 5 - 00557'!$E$7:$E$300)+COUNTIFS('Car 5 - 00557'!$D$7:$D$300,$B36,'Car 5 - 00557'!$E$7:$E$300,"")</f>
        <v>1</v>
      </c>
      <c r="I36" s="109">
        <f>SUMIF('Car 6 - 00663'!$D$7:$D$300,$B36,'Car 6 - 00663'!$E$7:$E$300)+COUNTIFS('Car 6 - 00663'!$D$7:$D$300,$B36,'Car 6 - 00663'!$E$7:$E$300,"")</f>
        <v>0</v>
      </c>
      <c r="J36" s="109">
        <f>SUMIF('Car 7 - 00680'!$D$7:$D$300,$B36,'Car 7 - 00680'!$E$7:$E$300)+COUNTIFS('Car 7 - 00680'!$D$7:$D$300,$B36,'Car 7 - 00680'!$E$7:$E$300,"")</f>
        <v>0</v>
      </c>
      <c r="K36" s="109">
        <f>SUMIF('Car 8 - 00523'!$D$7:$D$300,$B36,'Car 8 - 00523'!$E$7:$E$300)+COUNTIFS('Car 8 - 00523'!$D$7:$D$300,$B36,'Car 8 - 00523'!$E$7:$E$300,"")</f>
        <v>0</v>
      </c>
      <c r="L36" s="109">
        <f>SUMIF('Car 9 - 00097'!$D$7:$D$300,$B36,'Car 9 - 00097'!$E$7:$E$300)+COUNTIFS('Car 9 - 00097'!$D$7:$D$300,$B36,'Car 9 - 00097'!$E$7:$E$300,"")</f>
        <v>1</v>
      </c>
      <c r="M36" s="109">
        <f>SUMIF('Car 10 - 01352'!$D$7:$D$300,$B36,'Car 10 - 01352'!$E$7:$E$300)+COUNTIFS('Car 10 - 01352'!$D$7:$D$300,$B36,'Car 10 - 01352'!$E$7:$E$300,"")</f>
        <v>1</v>
      </c>
      <c r="N36" s="109">
        <f>SUM(D36:M36)</f>
        <v>4</v>
      </c>
    </row>
    <row r="37">
      <c r="A37" s="108" t="inlineStr">
        <is>
          <t>SEAT BELT ELR REAR COVER RH</t>
        </is>
      </c>
      <c r="B37" s="109" t="inlineStr">
        <is>
          <t>BF182624</t>
        </is>
      </c>
      <c r="C37" s="108" t="inlineStr">
        <is>
          <t>فيبرة حزام خلفى يمين</t>
        </is>
      </c>
      <c r="D37" s="109">
        <f>SUMIF('Car 1 - 00569'!$D$7:$D$300,$B37,'Car 1 - 00569'!$E$7:$E$300)+COUNTIFS('Car 1 - 00569'!$D$7:$D$300,$B37,'Car 1 - 00569'!$E$7:$E$300,"")</f>
        <v>0</v>
      </c>
      <c r="E37" s="109">
        <f>SUMIF('Car 2 - 01124'!$D$7:$D$300,$B37,'Car 2 - 01124'!$E$7:$E$300)+COUNTIFS('Car 2 - 01124'!$D$7:$D$300,$B37,'Car 2 - 01124'!$E$7:$E$300,"")</f>
        <v>1</v>
      </c>
      <c r="F37" s="109">
        <f>SUMIF('Car 3 - 00133'!$D$7:$D$300,$B37,'Car 3 - 00133'!$E$7:$E$300)+COUNTIFS('Car 3 - 00133'!$D$7:$D$300,$B37,'Car 3 - 00133'!$E$7:$E$300,"")</f>
        <v>1</v>
      </c>
      <c r="G37" s="109">
        <f>SUMIF('Car 4 - 00679'!$D$7:$D$300,$B37,'Car 4 - 00679'!$E$7:$E$300)+COUNTIFS('Car 4 - 00679'!$D$7:$D$300,$B37,'Car 4 - 00679'!$E$7:$E$300,"")</f>
        <v>0</v>
      </c>
      <c r="H37" s="109">
        <f>SUMIF('Car 5 - 00557'!$D$7:$D$300,$B37,'Car 5 - 00557'!$E$7:$E$300)+COUNTIFS('Car 5 - 00557'!$D$7:$D$300,$B37,'Car 5 - 00557'!$E$7:$E$300,"")</f>
        <v>1</v>
      </c>
      <c r="I37" s="109">
        <f>SUMIF('Car 6 - 00663'!$D$7:$D$300,$B37,'Car 6 - 00663'!$E$7:$E$300)+COUNTIFS('Car 6 - 00663'!$D$7:$D$300,$B37,'Car 6 - 00663'!$E$7:$E$300,"")</f>
        <v>0</v>
      </c>
      <c r="J37" s="109">
        <f>SUMIF('Car 7 - 00680'!$D$7:$D$300,$B37,'Car 7 - 00680'!$E$7:$E$300)+COUNTIFS('Car 7 - 00680'!$D$7:$D$300,$B37,'Car 7 - 00680'!$E$7:$E$300,"")</f>
        <v>0</v>
      </c>
      <c r="K37" s="109">
        <f>SUMIF('Car 8 - 00523'!$D$7:$D$300,$B37,'Car 8 - 00523'!$E$7:$E$300)+COUNTIFS('Car 8 - 00523'!$D$7:$D$300,$B37,'Car 8 - 00523'!$E$7:$E$300,"")</f>
        <v>0</v>
      </c>
      <c r="L37" s="109">
        <f>SUMIF('Car 9 - 00097'!$D$7:$D$300,$B37,'Car 9 - 00097'!$E$7:$E$300)+COUNTIFS('Car 9 - 00097'!$D$7:$D$300,$B37,'Car 9 - 00097'!$E$7:$E$300,"")</f>
        <v>1</v>
      </c>
      <c r="M37" s="109">
        <f>SUMIF('Car 10 - 01352'!$D$7:$D$300,$B37,'Car 10 - 01352'!$E$7:$E$300)+COUNTIFS('Car 10 - 01352'!$D$7:$D$300,$B37,'Car 10 - 01352'!$E$7:$E$300,"")</f>
        <v>1</v>
      </c>
      <c r="N37" s="109">
        <f>SUM(D37:M37)</f>
        <v>5</v>
      </c>
    </row>
    <row r="38">
      <c r="A38" s="108" t="inlineStr">
        <is>
          <t>SEAT BELT ELR REAR COVER LH</t>
        </is>
      </c>
      <c r="B38" s="109" t="inlineStr">
        <is>
          <t>BF182625</t>
        </is>
      </c>
      <c r="C38" s="108" t="inlineStr">
        <is>
          <t>فيبرة حزام خلفى شمال</t>
        </is>
      </c>
      <c r="D38" s="109">
        <f>SUMIF('Car 1 - 00569'!$D$7:$D$300,$B38,'Car 1 - 00569'!$E$7:$E$300)+COUNTIFS('Car 1 - 00569'!$D$7:$D$300,$B38,'Car 1 - 00569'!$E$7:$E$300,"")</f>
        <v>0</v>
      </c>
      <c r="E38" s="109">
        <f>SUMIF('Car 2 - 01124'!$D$7:$D$300,$B38,'Car 2 - 01124'!$E$7:$E$300)+COUNTIFS('Car 2 - 01124'!$D$7:$D$300,$B38,'Car 2 - 01124'!$E$7:$E$300,"")</f>
        <v>1</v>
      </c>
      <c r="F38" s="109">
        <f>SUMIF('Car 3 - 00133'!$D$7:$D$300,$B38,'Car 3 - 00133'!$E$7:$E$300)+COUNTIFS('Car 3 - 00133'!$D$7:$D$300,$B38,'Car 3 - 00133'!$E$7:$E$300,"")</f>
        <v>1</v>
      </c>
      <c r="G38" s="109">
        <f>SUMIF('Car 4 - 00679'!$D$7:$D$300,$B38,'Car 4 - 00679'!$E$7:$E$300)+COUNTIFS('Car 4 - 00679'!$D$7:$D$300,$B38,'Car 4 - 00679'!$E$7:$E$300,"")</f>
        <v>0</v>
      </c>
      <c r="H38" s="109">
        <f>SUMIF('Car 5 - 00557'!$D$7:$D$300,$B38,'Car 5 - 00557'!$E$7:$E$300)+COUNTIFS('Car 5 - 00557'!$D$7:$D$300,$B38,'Car 5 - 00557'!$E$7:$E$300,"")</f>
        <v>1</v>
      </c>
      <c r="I38" s="109">
        <f>SUMIF('Car 6 - 00663'!$D$7:$D$300,$B38,'Car 6 - 00663'!$E$7:$E$300)+COUNTIFS('Car 6 - 00663'!$D$7:$D$300,$B38,'Car 6 - 00663'!$E$7:$E$300,"")</f>
        <v>0</v>
      </c>
      <c r="J38" s="109">
        <f>SUMIF('Car 7 - 00680'!$D$7:$D$300,$B38,'Car 7 - 00680'!$E$7:$E$300)+COUNTIFS('Car 7 - 00680'!$D$7:$D$300,$B38,'Car 7 - 00680'!$E$7:$E$300,"")</f>
        <v>0</v>
      </c>
      <c r="K38" s="109">
        <f>SUMIF('Car 8 - 00523'!$D$7:$D$300,$B38,'Car 8 - 00523'!$E$7:$E$300)+COUNTIFS('Car 8 - 00523'!$D$7:$D$300,$B38,'Car 8 - 00523'!$E$7:$E$300,"")</f>
        <v>0</v>
      </c>
      <c r="L38" s="109">
        <f>SUMIF('Car 9 - 00097'!$D$7:$D$300,$B38,'Car 9 - 00097'!$E$7:$E$300)+COUNTIFS('Car 9 - 00097'!$D$7:$D$300,$B38,'Car 9 - 00097'!$E$7:$E$300,"")</f>
        <v>1</v>
      </c>
      <c r="M38" s="109">
        <f>SUMIF('Car 10 - 01352'!$D$7:$D$300,$B38,'Car 10 - 01352'!$E$7:$E$300)+COUNTIFS('Car 10 - 01352'!$D$7:$D$300,$B38,'Car 10 - 01352'!$E$7:$E$300,"")</f>
        <v>1</v>
      </c>
      <c r="N38" s="109">
        <f>SUM(D38:M38)</f>
        <v>5</v>
      </c>
    </row>
    <row r="39">
      <c r="A39" s="108" t="inlineStr">
        <is>
          <t>BELT ASSEMBLY SEAT FRONT</t>
        </is>
      </c>
      <c r="B39" s="109" t="inlineStr">
        <is>
          <t>BF182634</t>
        </is>
      </c>
      <c r="C39" s="108" t="inlineStr">
        <is>
          <t>حزام أمامي</t>
        </is>
      </c>
      <c r="D39" s="109">
        <f>SUMIF('Car 1 - 00569'!$D$7:$D$300,$B39,'Car 1 - 00569'!$E$7:$E$300)+COUNTIFS('Car 1 - 00569'!$D$7:$D$300,$B39,'Car 1 - 00569'!$E$7:$E$300,"")</f>
        <v>0</v>
      </c>
      <c r="E39" s="109">
        <f>SUMIF('Car 2 - 01124'!$D$7:$D$300,$B39,'Car 2 - 01124'!$E$7:$E$300)+COUNTIFS('Car 2 - 01124'!$D$7:$D$300,$B39,'Car 2 - 01124'!$E$7:$E$300,"")</f>
        <v>1</v>
      </c>
      <c r="F39" s="109">
        <f>SUMIF('Car 3 - 00133'!$D$7:$D$300,$B39,'Car 3 - 00133'!$E$7:$E$300)+COUNTIFS('Car 3 - 00133'!$D$7:$D$300,$B39,'Car 3 - 00133'!$E$7:$E$300,"")</f>
        <v>1</v>
      </c>
      <c r="G39" s="109">
        <f>SUMIF('Car 4 - 00679'!$D$7:$D$300,$B39,'Car 4 - 00679'!$E$7:$E$300)+COUNTIFS('Car 4 - 00679'!$D$7:$D$300,$B39,'Car 4 - 00679'!$E$7:$E$300,"")</f>
        <v>0</v>
      </c>
      <c r="H39" s="109">
        <f>SUMIF('Car 5 - 00557'!$D$7:$D$300,$B39,'Car 5 - 00557'!$E$7:$E$300)+COUNTIFS('Car 5 - 00557'!$D$7:$D$300,$B39,'Car 5 - 00557'!$E$7:$E$300,"")</f>
        <v>1</v>
      </c>
      <c r="I39" s="109">
        <f>SUMIF('Car 6 - 00663'!$D$7:$D$300,$B39,'Car 6 - 00663'!$E$7:$E$300)+COUNTIFS('Car 6 - 00663'!$D$7:$D$300,$B39,'Car 6 - 00663'!$E$7:$E$300,"")</f>
        <v>0</v>
      </c>
      <c r="J39" s="109">
        <f>SUMIF('Car 7 - 00680'!$D$7:$D$300,$B39,'Car 7 - 00680'!$E$7:$E$300)+COUNTIFS('Car 7 - 00680'!$D$7:$D$300,$B39,'Car 7 - 00680'!$E$7:$E$300,"")</f>
        <v>0</v>
      </c>
      <c r="K39" s="109">
        <f>SUMIF('Car 8 - 00523'!$D$7:$D$300,$B39,'Car 8 - 00523'!$E$7:$E$300)+COUNTIFS('Car 8 - 00523'!$D$7:$D$300,$B39,'Car 8 - 00523'!$E$7:$E$300,"")</f>
        <v>0</v>
      </c>
      <c r="L39" s="109">
        <f>SUMIF('Car 9 - 00097'!$D$7:$D$300,$B39,'Car 9 - 00097'!$E$7:$E$300)+COUNTIFS('Car 9 - 00097'!$D$7:$D$300,$B39,'Car 9 - 00097'!$E$7:$E$300,"")</f>
        <v>1</v>
      </c>
      <c r="M39" s="109">
        <f>SUMIF('Car 10 - 01352'!$D$7:$D$300,$B39,'Car 10 - 01352'!$E$7:$E$300)+COUNTIFS('Car 10 - 01352'!$D$7:$D$300,$B39,'Car 10 - 01352'!$E$7:$E$300,"")</f>
        <v>1</v>
      </c>
      <c r="N39" s="109">
        <f>SUM(D39:M39)</f>
        <v>5</v>
      </c>
    </row>
    <row r="40">
      <c r="A40" s="108" t="inlineStr">
        <is>
          <t>BELT ASSEMBLY SEAT REAR</t>
        </is>
      </c>
      <c r="B40" s="109" t="inlineStr">
        <is>
          <t>BF182635</t>
        </is>
      </c>
      <c r="C40" s="108" t="inlineStr">
        <is>
          <t>حزام خلفي</t>
        </is>
      </c>
      <c r="D40" s="109">
        <f>SUMIF('Car 1 - 00569'!$D$7:$D$300,$B40,'Car 1 - 00569'!$E$7:$E$300)+COUNTIFS('Car 1 - 00569'!$D$7:$D$300,$B40,'Car 1 - 00569'!$E$7:$E$300,"")</f>
        <v>0</v>
      </c>
      <c r="E40" s="109">
        <f>SUMIF('Car 2 - 01124'!$D$7:$D$300,$B40,'Car 2 - 01124'!$E$7:$E$300)+COUNTIFS('Car 2 - 01124'!$D$7:$D$300,$B40,'Car 2 - 01124'!$E$7:$E$300,"")</f>
        <v>1</v>
      </c>
      <c r="F40" s="109">
        <f>SUMIF('Car 3 - 00133'!$D$7:$D$300,$B40,'Car 3 - 00133'!$E$7:$E$300)+COUNTIFS('Car 3 - 00133'!$D$7:$D$300,$B40,'Car 3 - 00133'!$E$7:$E$300,"")</f>
        <v>1</v>
      </c>
      <c r="G40" s="109">
        <f>SUMIF('Car 4 - 00679'!$D$7:$D$300,$B40,'Car 4 - 00679'!$E$7:$E$300)+COUNTIFS('Car 4 - 00679'!$D$7:$D$300,$B40,'Car 4 - 00679'!$E$7:$E$300,"")</f>
        <v>0</v>
      </c>
      <c r="H40" s="109">
        <f>SUMIF('Car 5 - 00557'!$D$7:$D$300,$B40,'Car 5 - 00557'!$E$7:$E$300)+COUNTIFS('Car 5 - 00557'!$D$7:$D$300,$B40,'Car 5 - 00557'!$E$7:$E$300,"")</f>
        <v>1</v>
      </c>
      <c r="I40" s="109">
        <f>SUMIF('Car 6 - 00663'!$D$7:$D$300,$B40,'Car 6 - 00663'!$E$7:$E$300)+COUNTIFS('Car 6 - 00663'!$D$7:$D$300,$B40,'Car 6 - 00663'!$E$7:$E$300,"")</f>
        <v>0</v>
      </c>
      <c r="J40" s="109">
        <f>SUMIF('Car 7 - 00680'!$D$7:$D$300,$B40,'Car 7 - 00680'!$E$7:$E$300)+COUNTIFS('Car 7 - 00680'!$D$7:$D$300,$B40,'Car 7 - 00680'!$E$7:$E$300,"")</f>
        <v>0</v>
      </c>
      <c r="K40" s="109">
        <f>SUMIF('Car 8 - 00523'!$D$7:$D$300,$B40,'Car 8 - 00523'!$E$7:$E$300)+COUNTIFS('Car 8 - 00523'!$D$7:$D$300,$B40,'Car 8 - 00523'!$E$7:$E$300,"")</f>
        <v>0</v>
      </c>
      <c r="L40" s="109">
        <f>SUMIF('Car 9 - 00097'!$D$7:$D$300,$B40,'Car 9 - 00097'!$E$7:$E$300)+COUNTIFS('Car 9 - 00097'!$D$7:$D$300,$B40,'Car 9 - 00097'!$E$7:$E$300,"")</f>
        <v>1</v>
      </c>
      <c r="M40" s="109">
        <f>SUMIF('Car 10 - 01352'!$D$7:$D$300,$B40,'Car 10 - 01352'!$E$7:$E$300)+COUNTIFS('Car 10 - 01352'!$D$7:$D$300,$B40,'Car 10 - 01352'!$E$7:$E$300,"")</f>
        <v>1</v>
      </c>
      <c r="N40" s="109">
        <f>SUM(D40:M40)</f>
        <v>5</v>
      </c>
    </row>
    <row r="41">
      <c r="A41" s="108" t="inlineStr">
        <is>
          <t>IRVM</t>
        </is>
      </c>
      <c r="B41" s="109" t="inlineStr">
        <is>
          <t>BF184620</t>
        </is>
      </c>
      <c r="C41" s="108" t="inlineStr">
        <is>
          <t>مرايا صالون</t>
        </is>
      </c>
      <c r="D41" s="109">
        <f>SUMIF('Car 1 - 00569'!$D$7:$D$300,$B41,'Car 1 - 00569'!$E$7:$E$300)+COUNTIFS('Car 1 - 00569'!$D$7:$D$300,$B41,'Car 1 - 00569'!$E$7:$E$300,"")</f>
        <v>0</v>
      </c>
      <c r="E41" s="109">
        <f>SUMIF('Car 2 - 01124'!$D$7:$D$300,$B41,'Car 2 - 01124'!$E$7:$E$300)+COUNTIFS('Car 2 - 01124'!$D$7:$D$300,$B41,'Car 2 - 01124'!$E$7:$E$300,"")</f>
        <v>1</v>
      </c>
      <c r="F41" s="109">
        <f>SUMIF('Car 3 - 00133'!$D$7:$D$300,$B41,'Car 3 - 00133'!$E$7:$E$300)+COUNTIFS('Car 3 - 00133'!$D$7:$D$300,$B41,'Car 3 - 00133'!$E$7:$E$300,"")</f>
        <v>0</v>
      </c>
      <c r="G41" s="109">
        <f>SUMIF('Car 4 - 00679'!$D$7:$D$300,$B41,'Car 4 - 00679'!$E$7:$E$300)+COUNTIFS('Car 4 - 00679'!$D$7:$D$300,$B41,'Car 4 - 00679'!$E$7:$E$300,"")</f>
        <v>0</v>
      </c>
      <c r="H41" s="109">
        <f>SUMIF('Car 5 - 00557'!$D$7:$D$300,$B41,'Car 5 - 00557'!$E$7:$E$300)+COUNTIFS('Car 5 - 00557'!$D$7:$D$300,$B41,'Car 5 - 00557'!$E$7:$E$300,"")</f>
        <v>0</v>
      </c>
      <c r="I41" s="109">
        <f>SUMIF('Car 6 - 00663'!$D$7:$D$300,$B41,'Car 6 - 00663'!$E$7:$E$300)+COUNTIFS('Car 6 - 00663'!$D$7:$D$300,$B41,'Car 6 - 00663'!$E$7:$E$300,"")</f>
        <v>0</v>
      </c>
      <c r="J41" s="109">
        <f>SUMIF('Car 7 - 00680'!$D$7:$D$300,$B41,'Car 7 - 00680'!$E$7:$E$300)+COUNTIFS('Car 7 - 00680'!$D$7:$D$300,$B41,'Car 7 - 00680'!$E$7:$E$300,"")</f>
        <v>0</v>
      </c>
      <c r="K41" s="109">
        <f>SUMIF('Car 8 - 00523'!$D$7:$D$300,$B41,'Car 8 - 00523'!$E$7:$E$300)+COUNTIFS('Car 8 - 00523'!$D$7:$D$300,$B41,'Car 8 - 00523'!$E$7:$E$300,"")</f>
        <v>0</v>
      </c>
      <c r="L41" s="109">
        <f>SUMIF('Car 9 - 00097'!$D$7:$D$300,$B41,'Car 9 - 00097'!$E$7:$E$300)+COUNTIFS('Car 9 - 00097'!$D$7:$D$300,$B41,'Car 9 - 00097'!$E$7:$E$300,"")</f>
        <v>0</v>
      </c>
      <c r="M41" s="109">
        <f>SUMIF('Car 10 - 01352'!$D$7:$D$300,$B41,'Car 10 - 01352'!$E$7:$E$300)+COUNTIFS('Car 10 - 01352'!$D$7:$D$300,$B41,'Car 10 - 01352'!$E$7:$E$300,"")</f>
        <v>0</v>
      </c>
      <c r="N41" s="109">
        <f>SUM(D41:M41)</f>
        <v>1</v>
      </c>
    </row>
    <row r="42">
      <c r="A42" s="108" t="inlineStr">
        <is>
          <t>ORVM LH</t>
        </is>
      </c>
      <c r="B42" s="109" t="inlineStr">
        <is>
          <t>BF184637</t>
        </is>
      </c>
      <c r="C42" s="108" t="inlineStr">
        <is>
          <t>مرايا شمال</t>
        </is>
      </c>
      <c r="D42" s="109">
        <f>SUMIF('Car 1 - 00569'!$D$7:$D$300,$B42,'Car 1 - 00569'!$E$7:$E$300)+COUNTIFS('Car 1 - 00569'!$D$7:$D$300,$B42,'Car 1 - 00569'!$E$7:$E$300,"")</f>
        <v>0</v>
      </c>
      <c r="E42" s="109">
        <f>SUMIF('Car 2 - 01124'!$D$7:$D$300,$B42,'Car 2 - 01124'!$E$7:$E$300)+COUNTIFS('Car 2 - 01124'!$D$7:$D$300,$B42,'Car 2 - 01124'!$E$7:$E$300,"")</f>
        <v>0</v>
      </c>
      <c r="F42" s="109">
        <f>SUMIF('Car 3 - 00133'!$D$7:$D$300,$B42,'Car 3 - 00133'!$E$7:$E$300)+COUNTIFS('Car 3 - 00133'!$D$7:$D$300,$B42,'Car 3 - 00133'!$E$7:$E$300,"")</f>
        <v>0</v>
      </c>
      <c r="G42" s="109">
        <f>SUMIF('Car 4 - 00679'!$D$7:$D$300,$B42,'Car 4 - 00679'!$E$7:$E$300)+COUNTIFS('Car 4 - 00679'!$D$7:$D$300,$B42,'Car 4 - 00679'!$E$7:$E$300,"")</f>
        <v>0</v>
      </c>
      <c r="H42" s="109">
        <f>SUMIF('Car 5 - 00557'!$D$7:$D$300,$B42,'Car 5 - 00557'!$E$7:$E$300)+COUNTIFS('Car 5 - 00557'!$D$7:$D$300,$B42,'Car 5 - 00557'!$E$7:$E$300,"")</f>
        <v>1</v>
      </c>
      <c r="I42" s="109">
        <f>SUMIF('Car 6 - 00663'!$D$7:$D$300,$B42,'Car 6 - 00663'!$E$7:$E$300)+COUNTIFS('Car 6 - 00663'!$D$7:$D$300,$B42,'Car 6 - 00663'!$E$7:$E$300,"")</f>
        <v>0</v>
      </c>
      <c r="J42" s="109">
        <f>SUMIF('Car 7 - 00680'!$D$7:$D$300,$B42,'Car 7 - 00680'!$E$7:$E$300)+COUNTIFS('Car 7 - 00680'!$D$7:$D$300,$B42,'Car 7 - 00680'!$E$7:$E$300,"")</f>
        <v>1</v>
      </c>
      <c r="K42" s="109">
        <f>SUMIF('Car 8 - 00523'!$D$7:$D$300,$B42,'Car 8 - 00523'!$E$7:$E$300)+COUNTIFS('Car 8 - 00523'!$D$7:$D$300,$B42,'Car 8 - 00523'!$E$7:$E$300,"")</f>
        <v>0</v>
      </c>
      <c r="L42" s="109">
        <f>SUMIF('Car 9 - 00097'!$D$7:$D$300,$B42,'Car 9 - 00097'!$E$7:$E$300)+COUNTIFS('Car 9 - 00097'!$D$7:$D$300,$B42,'Car 9 - 00097'!$E$7:$E$300,"")</f>
        <v>1</v>
      </c>
      <c r="M42" s="109">
        <f>SUMIF('Car 10 - 01352'!$D$7:$D$300,$B42,'Car 10 - 01352'!$E$7:$E$300)+COUNTIFS('Car 10 - 01352'!$D$7:$D$300,$B42,'Car 10 - 01352'!$E$7:$E$300,"")</f>
        <v>1</v>
      </c>
      <c r="N42" s="109">
        <f>SUM(D42:M42)</f>
        <v>4</v>
      </c>
    </row>
    <row r="43">
      <c r="A43" s="108" t="inlineStr">
        <is>
          <t>ORVM RH</t>
        </is>
      </c>
      <c r="B43" s="109" t="inlineStr">
        <is>
          <t>BF184638</t>
        </is>
      </c>
      <c r="C43" s="108" t="inlineStr">
        <is>
          <t>مرايا يمين</t>
        </is>
      </c>
      <c r="D43" s="109">
        <f>SUMIF('Car 1 - 00569'!$D$7:$D$300,$B43,'Car 1 - 00569'!$E$7:$E$300)+COUNTIFS('Car 1 - 00569'!$D$7:$D$300,$B43,'Car 1 - 00569'!$E$7:$E$300,"")</f>
        <v>0</v>
      </c>
      <c r="E43" s="109">
        <f>SUMIF('Car 2 - 01124'!$D$7:$D$300,$B43,'Car 2 - 01124'!$E$7:$E$300)+COUNTIFS('Car 2 - 01124'!$D$7:$D$300,$B43,'Car 2 - 01124'!$E$7:$E$300,"")</f>
        <v>1</v>
      </c>
      <c r="F43" s="109">
        <f>SUMIF('Car 3 - 00133'!$D$7:$D$300,$B43,'Car 3 - 00133'!$E$7:$E$300)+COUNTIFS('Car 3 - 00133'!$D$7:$D$300,$B43,'Car 3 - 00133'!$E$7:$E$300,"")</f>
        <v>0</v>
      </c>
      <c r="G43" s="109">
        <f>SUMIF('Car 4 - 00679'!$D$7:$D$300,$B43,'Car 4 - 00679'!$E$7:$E$300)+COUNTIFS('Car 4 - 00679'!$D$7:$D$300,$B43,'Car 4 - 00679'!$E$7:$E$300,"")</f>
        <v>0</v>
      </c>
      <c r="H43" s="109">
        <f>SUMIF('Car 5 - 00557'!$D$7:$D$300,$B43,'Car 5 - 00557'!$E$7:$E$300)+COUNTIFS('Car 5 - 00557'!$D$7:$D$300,$B43,'Car 5 - 00557'!$E$7:$E$300,"")</f>
        <v>1</v>
      </c>
      <c r="I43" s="109">
        <f>SUMIF('Car 6 - 00663'!$D$7:$D$300,$B43,'Car 6 - 00663'!$E$7:$E$300)+COUNTIFS('Car 6 - 00663'!$D$7:$D$300,$B43,'Car 6 - 00663'!$E$7:$E$300,"")</f>
        <v>0</v>
      </c>
      <c r="J43" s="109">
        <f>SUMIF('Car 7 - 00680'!$D$7:$D$300,$B43,'Car 7 - 00680'!$E$7:$E$300)+COUNTIFS('Car 7 - 00680'!$D$7:$D$300,$B43,'Car 7 - 00680'!$E$7:$E$300,"")</f>
        <v>0</v>
      </c>
      <c r="K43" s="109">
        <f>SUMIF('Car 8 - 00523'!$D$7:$D$300,$B43,'Car 8 - 00523'!$E$7:$E$300)+COUNTIFS('Car 8 - 00523'!$D$7:$D$300,$B43,'Car 8 - 00523'!$E$7:$E$300,"")</f>
        <v>0</v>
      </c>
      <c r="L43" s="109">
        <f>SUMIF('Car 9 - 00097'!$D$7:$D$300,$B43,'Car 9 - 00097'!$E$7:$E$300)+COUNTIFS('Car 9 - 00097'!$D$7:$D$300,$B43,'Car 9 - 00097'!$E$7:$E$300,"")</f>
        <v>1</v>
      </c>
      <c r="M43" s="109">
        <f>SUMIF('Car 10 - 01352'!$D$7:$D$300,$B43,'Car 10 - 01352'!$E$7:$E$300)+COUNTIFS('Car 10 - 01352'!$D$7:$D$300,$B43,'Car 10 - 01352'!$E$7:$E$300,"")</f>
        <v>0</v>
      </c>
      <c r="N43" s="109">
        <f>SUM(D43:M43)</f>
        <v>3</v>
      </c>
    </row>
    <row r="44">
      <c r="A44" s="108" t="inlineStr">
        <is>
          <t>CAP TR ARM MOUNTING LH</t>
        </is>
      </c>
      <c r="B44" s="109" t="inlineStr">
        <is>
          <t>BF185010</t>
        </is>
      </c>
      <c r="C44" s="108" t="inlineStr">
        <is>
          <t>طبة عتبة شمال</t>
        </is>
      </c>
      <c r="D44" s="109">
        <f>SUMIF('Car 1 - 00569'!$D$7:$D$300,$B44,'Car 1 - 00569'!$E$7:$E$300)+COUNTIFS('Car 1 - 00569'!$D$7:$D$300,$B44,'Car 1 - 00569'!$E$7:$E$300,"")</f>
        <v>0</v>
      </c>
      <c r="E44" s="109">
        <f>SUMIF('Car 2 - 01124'!$D$7:$D$300,$B44,'Car 2 - 01124'!$E$7:$E$300)+COUNTIFS('Car 2 - 01124'!$D$7:$D$300,$B44,'Car 2 - 01124'!$E$7:$E$300,"")</f>
        <v>0</v>
      </c>
      <c r="F44" s="109">
        <f>SUMIF('Car 3 - 00133'!$D$7:$D$300,$B44,'Car 3 - 00133'!$E$7:$E$300)+COUNTIFS('Car 3 - 00133'!$D$7:$D$300,$B44,'Car 3 - 00133'!$E$7:$E$300,"")</f>
        <v>0</v>
      </c>
      <c r="G44" s="109">
        <f>SUMIF('Car 4 - 00679'!$D$7:$D$300,$B44,'Car 4 - 00679'!$E$7:$E$300)+COUNTIFS('Car 4 - 00679'!$D$7:$D$300,$B44,'Car 4 - 00679'!$E$7:$E$300,"")</f>
        <v>0</v>
      </c>
      <c r="H44" s="109">
        <f>SUMIF('Car 5 - 00557'!$D$7:$D$300,$B44,'Car 5 - 00557'!$E$7:$E$300)+COUNTIFS('Car 5 - 00557'!$D$7:$D$300,$B44,'Car 5 - 00557'!$E$7:$E$300,"")</f>
        <v>0</v>
      </c>
      <c r="I44" s="109">
        <f>SUMIF('Car 6 - 00663'!$D$7:$D$300,$B44,'Car 6 - 00663'!$E$7:$E$300)+COUNTIFS('Car 6 - 00663'!$D$7:$D$300,$B44,'Car 6 - 00663'!$E$7:$E$300,"")</f>
        <v>1</v>
      </c>
      <c r="J44" s="109">
        <f>SUMIF('Car 7 - 00680'!$D$7:$D$300,$B44,'Car 7 - 00680'!$E$7:$E$300)+COUNTIFS('Car 7 - 00680'!$D$7:$D$300,$B44,'Car 7 - 00680'!$E$7:$E$300,"")</f>
        <v>0</v>
      </c>
      <c r="K44" s="109">
        <f>SUMIF('Car 8 - 00523'!$D$7:$D$300,$B44,'Car 8 - 00523'!$E$7:$E$300)+COUNTIFS('Car 8 - 00523'!$D$7:$D$300,$B44,'Car 8 - 00523'!$E$7:$E$300,"")</f>
        <v>0</v>
      </c>
      <c r="L44" s="109">
        <f>SUMIF('Car 9 - 00097'!$D$7:$D$300,$B44,'Car 9 - 00097'!$E$7:$E$300)+COUNTIFS('Car 9 - 00097'!$D$7:$D$300,$B44,'Car 9 - 00097'!$E$7:$E$300,"")</f>
        <v>0</v>
      </c>
      <c r="M44" s="109">
        <f>SUMIF('Car 10 - 01352'!$D$7:$D$300,$B44,'Car 10 - 01352'!$E$7:$E$300)+COUNTIFS('Car 10 - 01352'!$D$7:$D$300,$B44,'Car 10 - 01352'!$E$7:$E$300,"")</f>
        <v>0</v>
      </c>
      <c r="N44" s="109">
        <f>SUM(D44:M44)</f>
        <v>1</v>
      </c>
    </row>
    <row r="45">
      <c r="A45" s="108" t="inlineStr">
        <is>
          <t>CAP TR ARM MOUNTING RH</t>
        </is>
      </c>
      <c r="B45" s="109" t="inlineStr">
        <is>
          <t>BF185011</t>
        </is>
      </c>
      <c r="C45" s="108" t="inlineStr">
        <is>
          <t>طبة عتبة يمين</t>
        </is>
      </c>
      <c r="D45" s="109">
        <f>SUMIF('Car 1 - 00569'!$D$7:$D$300,$B45,'Car 1 - 00569'!$E$7:$E$300)+COUNTIFS('Car 1 - 00569'!$D$7:$D$300,$B45,'Car 1 - 00569'!$E$7:$E$300,"")</f>
        <v>0</v>
      </c>
      <c r="E45" s="109">
        <f>SUMIF('Car 2 - 01124'!$D$7:$D$300,$B45,'Car 2 - 01124'!$E$7:$E$300)+COUNTIFS('Car 2 - 01124'!$D$7:$D$300,$B45,'Car 2 - 01124'!$E$7:$E$300,"")</f>
        <v>1</v>
      </c>
      <c r="F45" s="109">
        <f>SUMIF('Car 3 - 00133'!$D$7:$D$300,$B45,'Car 3 - 00133'!$E$7:$E$300)+COUNTIFS('Car 3 - 00133'!$D$7:$D$300,$B45,'Car 3 - 00133'!$E$7:$E$300,"")</f>
        <v>0</v>
      </c>
      <c r="G45" s="109">
        <f>SUMIF('Car 4 - 00679'!$D$7:$D$300,$B45,'Car 4 - 00679'!$E$7:$E$300)+COUNTIFS('Car 4 - 00679'!$D$7:$D$300,$B45,'Car 4 - 00679'!$E$7:$E$300,"")</f>
        <v>1</v>
      </c>
      <c r="H45" s="109">
        <f>SUMIF('Car 5 - 00557'!$D$7:$D$300,$B45,'Car 5 - 00557'!$E$7:$E$300)+COUNTIFS('Car 5 - 00557'!$D$7:$D$300,$B45,'Car 5 - 00557'!$E$7:$E$300,"")</f>
        <v>0</v>
      </c>
      <c r="I45" s="109">
        <f>SUMIF('Car 6 - 00663'!$D$7:$D$300,$B45,'Car 6 - 00663'!$E$7:$E$300)+COUNTIFS('Car 6 - 00663'!$D$7:$D$300,$B45,'Car 6 - 00663'!$E$7:$E$300,"")</f>
        <v>1</v>
      </c>
      <c r="J45" s="109">
        <f>SUMIF('Car 7 - 00680'!$D$7:$D$300,$B45,'Car 7 - 00680'!$E$7:$E$300)+COUNTIFS('Car 7 - 00680'!$D$7:$D$300,$B45,'Car 7 - 00680'!$E$7:$E$300,"")</f>
        <v>0</v>
      </c>
      <c r="K45" s="109">
        <f>SUMIF('Car 8 - 00523'!$D$7:$D$300,$B45,'Car 8 - 00523'!$E$7:$E$300)+COUNTIFS('Car 8 - 00523'!$D$7:$D$300,$B45,'Car 8 - 00523'!$E$7:$E$300,"")</f>
        <v>1</v>
      </c>
      <c r="L45" s="109">
        <f>SUMIF('Car 9 - 00097'!$D$7:$D$300,$B45,'Car 9 - 00097'!$E$7:$E$300)+COUNTIFS('Car 9 - 00097'!$D$7:$D$300,$B45,'Car 9 - 00097'!$E$7:$E$300,"")</f>
        <v>1</v>
      </c>
      <c r="M45" s="109">
        <f>SUMIF('Car 10 - 01352'!$D$7:$D$300,$B45,'Car 10 - 01352'!$E$7:$E$300)+COUNTIFS('Car 10 - 01352'!$D$7:$D$300,$B45,'Car 10 - 01352'!$E$7:$E$300,"")</f>
        <v>0</v>
      </c>
      <c r="N45" s="109">
        <f>SUM(D45:M45)</f>
        <v>5</v>
      </c>
    </row>
    <row r="46">
      <c r="A46" s="108" t="inlineStr">
        <is>
          <t>GUARD SPLASH FRONT RH UPPER</t>
        </is>
      </c>
      <c r="B46" s="109" t="inlineStr">
        <is>
          <t>BF185025</t>
        </is>
      </c>
      <c r="C46" s="108" t="inlineStr">
        <is>
          <t>كابترة أمامي يمين علوية</t>
        </is>
      </c>
      <c r="D46" s="109">
        <f>SUMIF('Car 1 - 00569'!$D$7:$D$300,$B46,'Car 1 - 00569'!$E$7:$E$300)+COUNTIFS('Car 1 - 00569'!$D$7:$D$300,$B46,'Car 1 - 00569'!$E$7:$E$300,"")</f>
        <v>1</v>
      </c>
      <c r="E46" s="109">
        <f>SUMIF('Car 2 - 01124'!$D$7:$D$300,$B46,'Car 2 - 01124'!$E$7:$E$300)+COUNTIFS('Car 2 - 01124'!$D$7:$D$300,$B46,'Car 2 - 01124'!$E$7:$E$300,"")</f>
        <v>0</v>
      </c>
      <c r="F46" s="109">
        <f>SUMIF('Car 3 - 00133'!$D$7:$D$300,$B46,'Car 3 - 00133'!$E$7:$E$300)+COUNTIFS('Car 3 - 00133'!$D$7:$D$300,$B46,'Car 3 - 00133'!$E$7:$E$300,"")</f>
        <v>0</v>
      </c>
      <c r="G46" s="109">
        <f>SUMIF('Car 4 - 00679'!$D$7:$D$300,$B46,'Car 4 - 00679'!$E$7:$E$300)+COUNTIFS('Car 4 - 00679'!$D$7:$D$300,$B46,'Car 4 - 00679'!$E$7:$E$300,"")</f>
        <v>1</v>
      </c>
      <c r="H46" s="109">
        <f>SUMIF('Car 5 - 00557'!$D$7:$D$300,$B46,'Car 5 - 00557'!$E$7:$E$300)+COUNTIFS('Car 5 - 00557'!$D$7:$D$300,$B46,'Car 5 - 00557'!$E$7:$E$300,"")</f>
        <v>1</v>
      </c>
      <c r="I46" s="109">
        <f>SUMIF('Car 6 - 00663'!$D$7:$D$300,$B46,'Car 6 - 00663'!$E$7:$E$300)+COUNTIFS('Car 6 - 00663'!$D$7:$D$300,$B46,'Car 6 - 00663'!$E$7:$E$300,"")</f>
        <v>0</v>
      </c>
      <c r="J46" s="109">
        <f>SUMIF('Car 7 - 00680'!$D$7:$D$300,$B46,'Car 7 - 00680'!$E$7:$E$300)+COUNTIFS('Car 7 - 00680'!$D$7:$D$300,$B46,'Car 7 - 00680'!$E$7:$E$300,"")</f>
        <v>0</v>
      </c>
      <c r="K46" s="109">
        <f>SUMIF('Car 8 - 00523'!$D$7:$D$300,$B46,'Car 8 - 00523'!$E$7:$E$300)+COUNTIFS('Car 8 - 00523'!$D$7:$D$300,$B46,'Car 8 - 00523'!$E$7:$E$300,"")</f>
        <v>0</v>
      </c>
      <c r="L46" s="109">
        <f>SUMIF('Car 9 - 00097'!$D$7:$D$300,$B46,'Car 9 - 00097'!$E$7:$E$300)+COUNTIFS('Car 9 - 00097'!$D$7:$D$300,$B46,'Car 9 - 00097'!$E$7:$E$300,"")</f>
        <v>1</v>
      </c>
      <c r="M46" s="109">
        <f>SUMIF('Car 10 - 01352'!$D$7:$D$300,$B46,'Car 10 - 01352'!$E$7:$E$300)+COUNTIFS('Car 10 - 01352'!$D$7:$D$300,$B46,'Car 10 - 01352'!$E$7:$E$300,"")</f>
        <v>1</v>
      </c>
      <c r="N46" s="109">
        <f>SUM(D46:M46)</f>
        <v>5</v>
      </c>
    </row>
    <row r="47">
      <c r="A47" s="108" t="inlineStr">
        <is>
          <t>GUARD SPLASH FRONT RH LOWER</t>
        </is>
      </c>
      <c r="B47" s="109" t="inlineStr">
        <is>
          <t>BF185026</t>
        </is>
      </c>
      <c r="C47" s="108" t="inlineStr">
        <is>
          <t>كابترة أمامي يمين سفلي</t>
        </is>
      </c>
      <c r="D47" s="109">
        <f>SUMIF('Car 1 - 00569'!$D$7:$D$300,$B47,'Car 1 - 00569'!$E$7:$E$300)+COUNTIFS('Car 1 - 00569'!$D$7:$D$300,$B47,'Car 1 - 00569'!$E$7:$E$300,"")</f>
        <v>0</v>
      </c>
      <c r="E47" s="109">
        <f>SUMIF('Car 2 - 01124'!$D$7:$D$300,$B47,'Car 2 - 01124'!$E$7:$E$300)+COUNTIFS('Car 2 - 01124'!$D$7:$D$300,$B47,'Car 2 - 01124'!$E$7:$E$300,"")</f>
        <v>0</v>
      </c>
      <c r="F47" s="109">
        <f>SUMIF('Car 3 - 00133'!$D$7:$D$300,$B47,'Car 3 - 00133'!$E$7:$E$300)+COUNTIFS('Car 3 - 00133'!$D$7:$D$300,$B47,'Car 3 - 00133'!$E$7:$E$300,"")</f>
        <v>0</v>
      </c>
      <c r="G47" s="109">
        <f>SUMIF('Car 4 - 00679'!$D$7:$D$300,$B47,'Car 4 - 00679'!$E$7:$E$300)+COUNTIFS('Car 4 - 00679'!$D$7:$D$300,$B47,'Car 4 - 00679'!$E$7:$E$300,"")</f>
        <v>0</v>
      </c>
      <c r="H47" s="109">
        <f>SUMIF('Car 5 - 00557'!$D$7:$D$300,$B47,'Car 5 - 00557'!$E$7:$E$300)+COUNTIFS('Car 5 - 00557'!$D$7:$D$300,$B47,'Car 5 - 00557'!$E$7:$E$300,"")</f>
        <v>0</v>
      </c>
      <c r="I47" s="109">
        <f>SUMIF('Car 6 - 00663'!$D$7:$D$300,$B47,'Car 6 - 00663'!$E$7:$E$300)+COUNTIFS('Car 6 - 00663'!$D$7:$D$300,$B47,'Car 6 - 00663'!$E$7:$E$300,"")</f>
        <v>0</v>
      </c>
      <c r="J47" s="109">
        <f>SUMIF('Car 7 - 00680'!$D$7:$D$300,$B47,'Car 7 - 00680'!$E$7:$E$300)+COUNTIFS('Car 7 - 00680'!$D$7:$D$300,$B47,'Car 7 - 00680'!$E$7:$E$300,"")</f>
        <v>0</v>
      </c>
      <c r="K47" s="109">
        <f>SUMIF('Car 8 - 00523'!$D$7:$D$300,$B47,'Car 8 - 00523'!$E$7:$E$300)+COUNTIFS('Car 8 - 00523'!$D$7:$D$300,$B47,'Car 8 - 00523'!$E$7:$E$300,"")</f>
        <v>0</v>
      </c>
      <c r="L47" s="109">
        <f>SUMIF('Car 9 - 00097'!$D$7:$D$300,$B47,'Car 9 - 00097'!$E$7:$E$300)+COUNTIFS('Car 9 - 00097'!$D$7:$D$300,$B47,'Car 9 - 00097'!$E$7:$E$300,"")</f>
        <v>0</v>
      </c>
      <c r="M47" s="109">
        <f>SUMIF('Car 10 - 01352'!$D$7:$D$300,$B47,'Car 10 - 01352'!$E$7:$E$300)+COUNTIFS('Car 10 - 01352'!$D$7:$D$300,$B47,'Car 10 - 01352'!$E$7:$E$300,"")</f>
        <v>1</v>
      </c>
      <c r="N47" s="109">
        <f>SUM(D47:M47)</f>
        <v>1</v>
      </c>
    </row>
    <row r="48">
      <c r="A48" s="108" t="inlineStr">
        <is>
          <t>MUDFLAP REAR RH</t>
        </is>
      </c>
      <c r="B48" s="109" t="inlineStr">
        <is>
          <t>BF185068</t>
        </is>
      </c>
      <c r="C48" s="108" t="inlineStr">
        <is>
          <t>دلاية خلفي يمين</t>
        </is>
      </c>
      <c r="D48" s="109">
        <f>SUMIF('Car 1 - 00569'!$D$7:$D$300,$B48,'Car 1 - 00569'!$E$7:$E$300)+COUNTIFS('Car 1 - 00569'!$D$7:$D$300,$B48,'Car 1 - 00569'!$E$7:$E$300,"")</f>
        <v>0</v>
      </c>
      <c r="E48" s="109">
        <f>SUMIF('Car 2 - 01124'!$D$7:$D$300,$B48,'Car 2 - 01124'!$E$7:$E$300)+COUNTIFS('Car 2 - 01124'!$D$7:$D$300,$B48,'Car 2 - 01124'!$E$7:$E$300,"")</f>
        <v>0</v>
      </c>
      <c r="F48" s="109">
        <f>SUMIF('Car 3 - 00133'!$D$7:$D$300,$B48,'Car 3 - 00133'!$E$7:$E$300)+COUNTIFS('Car 3 - 00133'!$D$7:$D$300,$B48,'Car 3 - 00133'!$E$7:$E$300,"")</f>
        <v>0</v>
      </c>
      <c r="G48" s="109">
        <f>SUMIF('Car 4 - 00679'!$D$7:$D$300,$B48,'Car 4 - 00679'!$E$7:$E$300)+COUNTIFS('Car 4 - 00679'!$D$7:$D$300,$B48,'Car 4 - 00679'!$E$7:$E$300,"")</f>
        <v>0</v>
      </c>
      <c r="H48" s="109">
        <f>SUMIF('Car 5 - 00557'!$D$7:$D$300,$B48,'Car 5 - 00557'!$E$7:$E$300)+COUNTIFS('Car 5 - 00557'!$D$7:$D$300,$B48,'Car 5 - 00557'!$E$7:$E$300,"")</f>
        <v>1</v>
      </c>
      <c r="I48" s="109">
        <f>SUMIF('Car 6 - 00663'!$D$7:$D$300,$B48,'Car 6 - 00663'!$E$7:$E$300)+COUNTIFS('Car 6 - 00663'!$D$7:$D$300,$B48,'Car 6 - 00663'!$E$7:$E$300,"")</f>
        <v>0</v>
      </c>
      <c r="J48" s="109">
        <f>SUMIF('Car 7 - 00680'!$D$7:$D$300,$B48,'Car 7 - 00680'!$E$7:$E$300)+COUNTIFS('Car 7 - 00680'!$D$7:$D$300,$B48,'Car 7 - 00680'!$E$7:$E$300,"")</f>
        <v>0</v>
      </c>
      <c r="K48" s="109">
        <f>SUMIF('Car 8 - 00523'!$D$7:$D$300,$B48,'Car 8 - 00523'!$E$7:$E$300)+COUNTIFS('Car 8 - 00523'!$D$7:$D$300,$B48,'Car 8 - 00523'!$E$7:$E$300,"")</f>
        <v>0</v>
      </c>
      <c r="L48" s="109">
        <f>SUMIF('Car 9 - 00097'!$D$7:$D$300,$B48,'Car 9 - 00097'!$E$7:$E$300)+COUNTIFS('Car 9 - 00097'!$D$7:$D$300,$B48,'Car 9 - 00097'!$E$7:$E$300,"")</f>
        <v>1</v>
      </c>
      <c r="M48" s="109">
        <f>SUMIF('Car 10 - 01352'!$D$7:$D$300,$B48,'Car 10 - 01352'!$E$7:$E$300)+COUNTIFS('Car 10 - 01352'!$D$7:$D$300,$B48,'Car 10 - 01352'!$E$7:$E$300,"")</f>
        <v>1</v>
      </c>
      <c r="N48" s="109">
        <f>SUM(D48:M48)</f>
        <v>3</v>
      </c>
    </row>
    <row r="49">
      <c r="A49" s="108" t="inlineStr">
        <is>
          <t>MUDFLAP REAR LH</t>
        </is>
      </c>
      <c r="B49" s="109" t="inlineStr">
        <is>
          <t>BF185069</t>
        </is>
      </c>
      <c r="C49" s="108" t="inlineStr">
        <is>
          <t>دلايات خلفي يمين وشمال</t>
        </is>
      </c>
      <c r="D49" s="109">
        <f>SUMIF('Car 1 - 00569'!$D$7:$D$300,$B49,'Car 1 - 00569'!$E$7:$E$300)+COUNTIFS('Car 1 - 00569'!$D$7:$D$300,$B49,'Car 1 - 00569'!$E$7:$E$300,"")</f>
        <v>0</v>
      </c>
      <c r="E49" s="109">
        <f>SUMIF('Car 2 - 01124'!$D$7:$D$300,$B49,'Car 2 - 01124'!$E$7:$E$300)+COUNTIFS('Car 2 - 01124'!$D$7:$D$300,$B49,'Car 2 - 01124'!$E$7:$E$300,"")</f>
        <v>0</v>
      </c>
      <c r="F49" s="109">
        <f>SUMIF('Car 3 - 00133'!$D$7:$D$300,$B49,'Car 3 - 00133'!$E$7:$E$300)+COUNTIFS('Car 3 - 00133'!$D$7:$D$300,$B49,'Car 3 - 00133'!$E$7:$E$300,"")</f>
        <v>0</v>
      </c>
      <c r="G49" s="109">
        <f>SUMIF('Car 4 - 00679'!$D$7:$D$300,$B49,'Car 4 - 00679'!$E$7:$E$300)+COUNTIFS('Car 4 - 00679'!$D$7:$D$300,$B49,'Car 4 - 00679'!$E$7:$E$300,"")</f>
        <v>0</v>
      </c>
      <c r="H49" s="109">
        <f>SUMIF('Car 5 - 00557'!$D$7:$D$300,$B49,'Car 5 - 00557'!$E$7:$E$300)+COUNTIFS('Car 5 - 00557'!$D$7:$D$300,$B49,'Car 5 - 00557'!$E$7:$E$300,"")</f>
        <v>0</v>
      </c>
      <c r="I49" s="109">
        <f>SUMIF('Car 6 - 00663'!$D$7:$D$300,$B49,'Car 6 - 00663'!$E$7:$E$300)+COUNTIFS('Car 6 - 00663'!$D$7:$D$300,$B49,'Car 6 - 00663'!$E$7:$E$300,"")</f>
        <v>0</v>
      </c>
      <c r="J49" s="109">
        <f>SUMIF('Car 7 - 00680'!$D$7:$D$300,$B49,'Car 7 - 00680'!$E$7:$E$300)+COUNTIFS('Car 7 - 00680'!$D$7:$D$300,$B49,'Car 7 - 00680'!$E$7:$E$300,"")</f>
        <v>0</v>
      </c>
      <c r="K49" s="109">
        <f>SUMIF('Car 8 - 00523'!$D$7:$D$300,$B49,'Car 8 - 00523'!$E$7:$E$300)+COUNTIFS('Car 8 - 00523'!$D$7:$D$300,$B49,'Car 8 - 00523'!$E$7:$E$300,"")</f>
        <v>0</v>
      </c>
      <c r="L49" s="109">
        <f>SUMIF('Car 9 - 00097'!$D$7:$D$300,$B49,'Car 9 - 00097'!$E$7:$E$300)+COUNTIFS('Car 9 - 00097'!$D$7:$D$300,$B49,'Car 9 - 00097'!$E$7:$E$300,"")</f>
        <v>1</v>
      </c>
      <c r="M49" s="109">
        <f>SUMIF('Car 10 - 01352'!$D$7:$D$300,$B49,'Car 10 - 01352'!$E$7:$E$300)+COUNTIFS('Car 10 - 01352'!$D$7:$D$300,$B49,'Car 10 - 01352'!$E$7:$E$300,"")</f>
        <v>0</v>
      </c>
      <c r="N49" s="109">
        <f>SUM(D49:M49)</f>
        <v>1</v>
      </c>
    </row>
    <row r="50">
      <c r="A50" s="108" t="inlineStr">
        <is>
          <t>MUDFLAP FRONT LH</t>
        </is>
      </c>
      <c r="B50" s="109" t="inlineStr">
        <is>
          <t>BF185072</t>
        </is>
      </c>
      <c r="C50" s="108" t="inlineStr">
        <is>
          <t>دلاية أمامي شمال</t>
        </is>
      </c>
      <c r="D50" s="109">
        <f>SUMIF('Car 1 - 00569'!$D$7:$D$300,$B50,'Car 1 - 00569'!$E$7:$E$300)+COUNTIFS('Car 1 - 00569'!$D$7:$D$300,$B50,'Car 1 - 00569'!$E$7:$E$300,"")</f>
        <v>0</v>
      </c>
      <c r="E50" s="109">
        <f>SUMIF('Car 2 - 01124'!$D$7:$D$300,$B50,'Car 2 - 01124'!$E$7:$E$300)+COUNTIFS('Car 2 - 01124'!$D$7:$D$300,$B50,'Car 2 - 01124'!$E$7:$E$300,"")</f>
        <v>0</v>
      </c>
      <c r="F50" s="109">
        <f>SUMIF('Car 3 - 00133'!$D$7:$D$300,$B50,'Car 3 - 00133'!$E$7:$E$300)+COUNTIFS('Car 3 - 00133'!$D$7:$D$300,$B50,'Car 3 - 00133'!$E$7:$E$300,"")</f>
        <v>1</v>
      </c>
      <c r="G50" s="109">
        <f>SUMIF('Car 4 - 00679'!$D$7:$D$300,$B50,'Car 4 - 00679'!$E$7:$E$300)+COUNTIFS('Car 4 - 00679'!$D$7:$D$300,$B50,'Car 4 - 00679'!$E$7:$E$300,"")</f>
        <v>0</v>
      </c>
      <c r="H50" s="109">
        <f>SUMIF('Car 5 - 00557'!$D$7:$D$300,$B50,'Car 5 - 00557'!$E$7:$E$300)+COUNTIFS('Car 5 - 00557'!$D$7:$D$300,$B50,'Car 5 - 00557'!$E$7:$E$300,"")</f>
        <v>1</v>
      </c>
      <c r="I50" s="109">
        <f>SUMIF('Car 6 - 00663'!$D$7:$D$300,$B50,'Car 6 - 00663'!$E$7:$E$300)+COUNTIFS('Car 6 - 00663'!$D$7:$D$300,$B50,'Car 6 - 00663'!$E$7:$E$300,"")</f>
        <v>0</v>
      </c>
      <c r="J50" s="109">
        <f>SUMIF('Car 7 - 00680'!$D$7:$D$300,$B50,'Car 7 - 00680'!$E$7:$E$300)+COUNTIFS('Car 7 - 00680'!$D$7:$D$300,$B50,'Car 7 - 00680'!$E$7:$E$300,"")</f>
        <v>0</v>
      </c>
      <c r="K50" s="109">
        <f>SUMIF('Car 8 - 00523'!$D$7:$D$300,$B50,'Car 8 - 00523'!$E$7:$E$300)+COUNTIFS('Car 8 - 00523'!$D$7:$D$300,$B50,'Car 8 - 00523'!$E$7:$E$300,"")</f>
        <v>0</v>
      </c>
      <c r="L50" s="109">
        <f>SUMIF('Car 9 - 00097'!$D$7:$D$300,$B50,'Car 9 - 00097'!$E$7:$E$300)+COUNTIFS('Car 9 - 00097'!$D$7:$D$300,$B50,'Car 9 - 00097'!$E$7:$E$300,"")</f>
        <v>0</v>
      </c>
      <c r="M50" s="109">
        <f>SUMIF('Car 10 - 01352'!$D$7:$D$300,$B50,'Car 10 - 01352'!$E$7:$E$300)+COUNTIFS('Car 10 - 01352'!$D$7:$D$300,$B50,'Car 10 - 01352'!$E$7:$E$300,"")</f>
        <v>1</v>
      </c>
      <c r="N50" s="109">
        <f>SUM(D50:M50)</f>
        <v>3</v>
      </c>
    </row>
    <row r="51">
      <c r="A51" s="108" t="inlineStr">
        <is>
          <t>GUARD SPLASH REAR RH FRONT</t>
        </is>
      </c>
      <c r="B51" s="109" t="inlineStr">
        <is>
          <t>BF185077</t>
        </is>
      </c>
      <c r="C51" s="108" t="inlineStr">
        <is>
          <t>كابترة خلفي يمين أمامي</t>
        </is>
      </c>
      <c r="D51" s="109">
        <f>SUMIF('Car 1 - 00569'!$D$7:$D$300,$B51,'Car 1 - 00569'!$E$7:$E$300)+COUNTIFS('Car 1 - 00569'!$D$7:$D$300,$B51,'Car 1 - 00569'!$E$7:$E$300,"")</f>
        <v>0</v>
      </c>
      <c r="E51" s="109">
        <f>SUMIF('Car 2 - 01124'!$D$7:$D$300,$B51,'Car 2 - 01124'!$E$7:$E$300)+COUNTIFS('Car 2 - 01124'!$D$7:$D$300,$B51,'Car 2 - 01124'!$E$7:$E$300,"")</f>
        <v>0</v>
      </c>
      <c r="F51" s="109">
        <f>SUMIF('Car 3 - 00133'!$D$7:$D$300,$B51,'Car 3 - 00133'!$E$7:$E$300)+COUNTIFS('Car 3 - 00133'!$D$7:$D$300,$B51,'Car 3 - 00133'!$E$7:$E$300,"")</f>
        <v>1</v>
      </c>
      <c r="G51" s="109">
        <f>SUMIF('Car 4 - 00679'!$D$7:$D$300,$B51,'Car 4 - 00679'!$E$7:$E$300)+COUNTIFS('Car 4 - 00679'!$D$7:$D$300,$B51,'Car 4 - 00679'!$E$7:$E$300,"")</f>
        <v>0</v>
      </c>
      <c r="H51" s="109">
        <f>SUMIF('Car 5 - 00557'!$D$7:$D$300,$B51,'Car 5 - 00557'!$E$7:$E$300)+COUNTIFS('Car 5 - 00557'!$D$7:$D$300,$B51,'Car 5 - 00557'!$E$7:$E$300,"")</f>
        <v>1</v>
      </c>
      <c r="I51" s="109">
        <f>SUMIF('Car 6 - 00663'!$D$7:$D$300,$B51,'Car 6 - 00663'!$E$7:$E$300)+COUNTIFS('Car 6 - 00663'!$D$7:$D$300,$B51,'Car 6 - 00663'!$E$7:$E$300,"")</f>
        <v>0</v>
      </c>
      <c r="J51" s="109">
        <f>SUMIF('Car 7 - 00680'!$D$7:$D$300,$B51,'Car 7 - 00680'!$E$7:$E$300)+COUNTIFS('Car 7 - 00680'!$D$7:$D$300,$B51,'Car 7 - 00680'!$E$7:$E$300,"")</f>
        <v>0</v>
      </c>
      <c r="K51" s="109">
        <f>SUMIF('Car 8 - 00523'!$D$7:$D$300,$B51,'Car 8 - 00523'!$E$7:$E$300)+COUNTIFS('Car 8 - 00523'!$D$7:$D$300,$B51,'Car 8 - 00523'!$E$7:$E$300,"")</f>
        <v>0</v>
      </c>
      <c r="L51" s="109">
        <f>SUMIF('Car 9 - 00097'!$D$7:$D$300,$B51,'Car 9 - 00097'!$E$7:$E$300)+COUNTIFS('Car 9 - 00097'!$D$7:$D$300,$B51,'Car 9 - 00097'!$E$7:$E$300,"")</f>
        <v>1</v>
      </c>
      <c r="M51" s="109">
        <f>SUMIF('Car 10 - 01352'!$D$7:$D$300,$B51,'Car 10 - 01352'!$E$7:$E$300)+COUNTIFS('Car 10 - 01352'!$D$7:$D$300,$B51,'Car 10 - 01352'!$E$7:$E$300,"")</f>
        <v>0</v>
      </c>
      <c r="N51" s="109">
        <f>SUM(D51:M51)</f>
        <v>3</v>
      </c>
    </row>
    <row r="52">
      <c r="A52" s="108" t="inlineStr">
        <is>
          <t>GUARD SPLASH REAR RH REAR</t>
        </is>
      </c>
      <c r="B52" s="109" t="inlineStr">
        <is>
          <t>BF185078</t>
        </is>
      </c>
      <c r="C52" s="108" t="inlineStr">
        <is>
          <t>كابترة خلفي يمين خلفي</t>
        </is>
      </c>
      <c r="D52" s="109">
        <f>SUMIF('Car 1 - 00569'!$D$7:$D$300,$B52,'Car 1 - 00569'!$E$7:$E$300)+COUNTIFS('Car 1 - 00569'!$D$7:$D$300,$B52,'Car 1 - 00569'!$E$7:$E$300,"")</f>
        <v>0</v>
      </c>
      <c r="E52" s="109">
        <f>SUMIF('Car 2 - 01124'!$D$7:$D$300,$B52,'Car 2 - 01124'!$E$7:$E$300)+COUNTIFS('Car 2 - 01124'!$D$7:$D$300,$B52,'Car 2 - 01124'!$E$7:$E$300,"")</f>
        <v>0</v>
      </c>
      <c r="F52" s="109">
        <f>SUMIF('Car 3 - 00133'!$D$7:$D$300,$B52,'Car 3 - 00133'!$E$7:$E$300)+COUNTIFS('Car 3 - 00133'!$D$7:$D$300,$B52,'Car 3 - 00133'!$E$7:$E$300,"")</f>
        <v>0</v>
      </c>
      <c r="G52" s="109">
        <f>SUMIF('Car 4 - 00679'!$D$7:$D$300,$B52,'Car 4 - 00679'!$E$7:$E$300)+COUNTIFS('Car 4 - 00679'!$D$7:$D$300,$B52,'Car 4 - 00679'!$E$7:$E$300,"")</f>
        <v>0</v>
      </c>
      <c r="H52" s="109">
        <f>SUMIF('Car 5 - 00557'!$D$7:$D$300,$B52,'Car 5 - 00557'!$E$7:$E$300)+COUNTIFS('Car 5 - 00557'!$D$7:$D$300,$B52,'Car 5 - 00557'!$E$7:$E$300,"")</f>
        <v>0</v>
      </c>
      <c r="I52" s="109">
        <f>SUMIF('Car 6 - 00663'!$D$7:$D$300,$B52,'Car 6 - 00663'!$E$7:$E$300)+COUNTIFS('Car 6 - 00663'!$D$7:$D$300,$B52,'Car 6 - 00663'!$E$7:$E$300,"")</f>
        <v>0</v>
      </c>
      <c r="J52" s="109">
        <f>SUMIF('Car 7 - 00680'!$D$7:$D$300,$B52,'Car 7 - 00680'!$E$7:$E$300)+COUNTIFS('Car 7 - 00680'!$D$7:$D$300,$B52,'Car 7 - 00680'!$E$7:$E$300,"")</f>
        <v>0</v>
      </c>
      <c r="K52" s="109">
        <f>SUMIF('Car 8 - 00523'!$D$7:$D$300,$B52,'Car 8 - 00523'!$E$7:$E$300)+COUNTIFS('Car 8 - 00523'!$D$7:$D$300,$B52,'Car 8 - 00523'!$E$7:$E$300,"")</f>
        <v>0</v>
      </c>
      <c r="L52" s="109">
        <f>SUMIF('Car 9 - 00097'!$D$7:$D$300,$B52,'Car 9 - 00097'!$E$7:$E$300)+COUNTIFS('Car 9 - 00097'!$D$7:$D$300,$B52,'Car 9 - 00097'!$E$7:$E$300,"")</f>
        <v>0</v>
      </c>
      <c r="M52" s="109">
        <f>SUMIF('Car 10 - 01352'!$D$7:$D$300,$B52,'Car 10 - 01352'!$E$7:$E$300)+COUNTIFS('Car 10 - 01352'!$D$7:$D$300,$B52,'Car 10 - 01352'!$E$7:$E$300,"")</f>
        <v>1</v>
      </c>
      <c r="N52" s="109">
        <f>SUM(D52:M52)</f>
        <v>1</v>
      </c>
    </row>
    <row r="53">
      <c r="A53" s="108" t="inlineStr">
        <is>
          <t>GUARD SPLASH REAR LH REAR</t>
        </is>
      </c>
      <c r="B53" s="109" t="inlineStr">
        <is>
          <t>BF185081</t>
        </is>
      </c>
      <c r="C53" s="108" t="inlineStr">
        <is>
          <t>كابترة خلفي شمال خلفي</t>
        </is>
      </c>
      <c r="D53" s="109">
        <f>SUMIF('Car 1 - 00569'!$D$7:$D$300,$B53,'Car 1 - 00569'!$E$7:$E$300)+COUNTIFS('Car 1 - 00569'!$D$7:$D$300,$B53,'Car 1 - 00569'!$E$7:$E$300,"")</f>
        <v>0</v>
      </c>
      <c r="E53" s="109">
        <f>SUMIF('Car 2 - 01124'!$D$7:$D$300,$B53,'Car 2 - 01124'!$E$7:$E$300)+COUNTIFS('Car 2 - 01124'!$D$7:$D$300,$B53,'Car 2 - 01124'!$E$7:$E$300,"")</f>
        <v>0</v>
      </c>
      <c r="F53" s="109">
        <f>SUMIF('Car 3 - 00133'!$D$7:$D$300,$B53,'Car 3 - 00133'!$E$7:$E$300)+COUNTIFS('Car 3 - 00133'!$D$7:$D$300,$B53,'Car 3 - 00133'!$E$7:$E$300,"")</f>
        <v>0</v>
      </c>
      <c r="G53" s="109">
        <f>SUMIF('Car 4 - 00679'!$D$7:$D$300,$B53,'Car 4 - 00679'!$E$7:$E$300)+COUNTIFS('Car 4 - 00679'!$D$7:$D$300,$B53,'Car 4 - 00679'!$E$7:$E$300,"")</f>
        <v>0</v>
      </c>
      <c r="H53" s="109">
        <f>SUMIF('Car 5 - 00557'!$D$7:$D$300,$B53,'Car 5 - 00557'!$E$7:$E$300)+COUNTIFS('Car 5 - 00557'!$D$7:$D$300,$B53,'Car 5 - 00557'!$E$7:$E$300,"")</f>
        <v>0</v>
      </c>
      <c r="I53" s="109">
        <f>SUMIF('Car 6 - 00663'!$D$7:$D$300,$B53,'Car 6 - 00663'!$E$7:$E$300)+COUNTIFS('Car 6 - 00663'!$D$7:$D$300,$B53,'Car 6 - 00663'!$E$7:$E$300,"")</f>
        <v>0</v>
      </c>
      <c r="J53" s="109">
        <f>SUMIF('Car 7 - 00680'!$D$7:$D$300,$B53,'Car 7 - 00680'!$E$7:$E$300)+COUNTIFS('Car 7 - 00680'!$D$7:$D$300,$B53,'Car 7 - 00680'!$E$7:$E$300,"")</f>
        <v>0</v>
      </c>
      <c r="K53" s="109">
        <f>SUMIF('Car 8 - 00523'!$D$7:$D$300,$B53,'Car 8 - 00523'!$E$7:$E$300)+COUNTIFS('Car 8 - 00523'!$D$7:$D$300,$B53,'Car 8 - 00523'!$E$7:$E$300,"")</f>
        <v>0</v>
      </c>
      <c r="L53" s="109">
        <f>SUMIF('Car 9 - 00097'!$D$7:$D$300,$B53,'Car 9 - 00097'!$E$7:$E$300)+COUNTIFS('Car 9 - 00097'!$D$7:$D$300,$B53,'Car 9 - 00097'!$E$7:$E$300,"")</f>
        <v>0</v>
      </c>
      <c r="M53" s="109">
        <f>SUMIF('Car 10 - 01352'!$D$7:$D$300,$B53,'Car 10 - 01352'!$E$7:$E$300)+COUNTIFS('Car 10 - 01352'!$D$7:$D$300,$B53,'Car 10 - 01352'!$E$7:$E$300,"")</f>
        <v>1</v>
      </c>
      <c r="N53" s="109">
        <f>SUM(D53:M53)</f>
        <v>1</v>
      </c>
    </row>
    <row r="54">
      <c r="A54" s="108" t="inlineStr">
        <is>
          <t>GLASS TAILGATE</t>
        </is>
      </c>
      <c r="B54" s="109" t="inlineStr">
        <is>
          <t>BF186029</t>
        </is>
      </c>
      <c r="C54" s="108" t="inlineStr">
        <is>
          <t>فريم زجاج خلفي</t>
        </is>
      </c>
      <c r="D54" s="109">
        <f>SUMIF('Car 1 - 00569'!$D$7:$D$300,$B54,'Car 1 - 00569'!$E$7:$E$300)+COUNTIFS('Car 1 - 00569'!$D$7:$D$300,$B54,'Car 1 - 00569'!$E$7:$E$300,"")</f>
        <v>0</v>
      </c>
      <c r="E54" s="109">
        <f>SUMIF('Car 2 - 01124'!$D$7:$D$300,$B54,'Car 2 - 01124'!$E$7:$E$300)+COUNTIFS('Car 2 - 01124'!$D$7:$D$300,$B54,'Car 2 - 01124'!$E$7:$E$300,"")</f>
        <v>1</v>
      </c>
      <c r="F54" s="109">
        <f>SUMIF('Car 3 - 00133'!$D$7:$D$300,$B54,'Car 3 - 00133'!$E$7:$E$300)+COUNTIFS('Car 3 - 00133'!$D$7:$D$300,$B54,'Car 3 - 00133'!$E$7:$E$300,"")</f>
        <v>0</v>
      </c>
      <c r="G54" s="109">
        <f>SUMIF('Car 4 - 00679'!$D$7:$D$300,$B54,'Car 4 - 00679'!$E$7:$E$300)+COUNTIFS('Car 4 - 00679'!$D$7:$D$300,$B54,'Car 4 - 00679'!$E$7:$E$300,"")</f>
        <v>0</v>
      </c>
      <c r="H54" s="109">
        <f>SUMIF('Car 5 - 00557'!$D$7:$D$300,$B54,'Car 5 - 00557'!$E$7:$E$300)+COUNTIFS('Car 5 - 00557'!$D$7:$D$300,$B54,'Car 5 - 00557'!$E$7:$E$300,"")</f>
        <v>0</v>
      </c>
      <c r="I54" s="109">
        <f>SUMIF('Car 6 - 00663'!$D$7:$D$300,$B54,'Car 6 - 00663'!$E$7:$E$300)+COUNTIFS('Car 6 - 00663'!$D$7:$D$300,$B54,'Car 6 - 00663'!$E$7:$E$300,"")</f>
        <v>0</v>
      </c>
      <c r="J54" s="109">
        <f>SUMIF('Car 7 - 00680'!$D$7:$D$300,$B54,'Car 7 - 00680'!$E$7:$E$300)+COUNTIFS('Car 7 - 00680'!$D$7:$D$300,$B54,'Car 7 - 00680'!$E$7:$E$300,"")</f>
        <v>0</v>
      </c>
      <c r="K54" s="109">
        <f>SUMIF('Car 8 - 00523'!$D$7:$D$300,$B54,'Car 8 - 00523'!$E$7:$E$300)+COUNTIFS('Car 8 - 00523'!$D$7:$D$300,$B54,'Car 8 - 00523'!$E$7:$E$300,"")</f>
        <v>0</v>
      </c>
      <c r="L54" s="109">
        <f>SUMIF('Car 9 - 00097'!$D$7:$D$300,$B54,'Car 9 - 00097'!$E$7:$E$300)+COUNTIFS('Car 9 - 00097'!$D$7:$D$300,$B54,'Car 9 - 00097'!$E$7:$E$300,"")</f>
        <v>0</v>
      </c>
      <c r="M54" s="109">
        <f>SUMIF('Car 10 - 01352'!$D$7:$D$300,$B54,'Car 10 - 01352'!$E$7:$E$300)+COUNTIFS('Car 10 - 01352'!$D$7:$D$300,$B54,'Car 10 - 01352'!$E$7:$E$300,"")</f>
        <v>0</v>
      </c>
      <c r="N54" s="109">
        <f>SUM(D54:M54)</f>
        <v>1</v>
      </c>
    </row>
    <row r="55">
      <c r="A55" s="108" t="inlineStr">
        <is>
          <t>WIPER ASSEMBLY RE 43 LHD</t>
        </is>
      </c>
      <c r="B55" s="109" t="inlineStr">
        <is>
          <t>BF187009</t>
        </is>
      </c>
      <c r="C55" s="108" t="inlineStr">
        <is>
          <t>مساحة؟</t>
        </is>
      </c>
      <c r="D55" s="109">
        <f>SUMIF('Car 1 - 00569'!$D$7:$D$300,$B55,'Car 1 - 00569'!$E$7:$E$300)+COUNTIFS('Car 1 - 00569'!$D$7:$D$300,$B55,'Car 1 - 00569'!$E$7:$E$300,"")</f>
        <v>0</v>
      </c>
      <c r="E55" s="109">
        <f>SUMIF('Car 2 - 01124'!$D$7:$D$300,$B55,'Car 2 - 01124'!$E$7:$E$300)+COUNTIFS('Car 2 - 01124'!$D$7:$D$300,$B55,'Car 2 - 01124'!$E$7:$E$300,"")</f>
        <v>0</v>
      </c>
      <c r="F55" s="109">
        <f>SUMIF('Car 3 - 00133'!$D$7:$D$300,$B55,'Car 3 - 00133'!$E$7:$E$300)+COUNTIFS('Car 3 - 00133'!$D$7:$D$300,$B55,'Car 3 - 00133'!$E$7:$E$300,"")</f>
        <v>0</v>
      </c>
      <c r="G55" s="109">
        <f>SUMIF('Car 4 - 00679'!$D$7:$D$300,$B55,'Car 4 - 00679'!$E$7:$E$300)+COUNTIFS('Car 4 - 00679'!$D$7:$D$300,$B55,'Car 4 - 00679'!$E$7:$E$300,"")</f>
        <v>0</v>
      </c>
      <c r="H55" s="109">
        <f>SUMIF('Car 5 - 00557'!$D$7:$D$300,$B55,'Car 5 - 00557'!$E$7:$E$300)+COUNTIFS('Car 5 - 00557'!$D$7:$D$300,$B55,'Car 5 - 00557'!$E$7:$E$300,"")</f>
        <v>0</v>
      </c>
      <c r="I55" s="109">
        <f>SUMIF('Car 6 - 00663'!$D$7:$D$300,$B55,'Car 6 - 00663'!$E$7:$E$300)+COUNTIFS('Car 6 - 00663'!$D$7:$D$300,$B55,'Car 6 - 00663'!$E$7:$E$300,"")</f>
        <v>0</v>
      </c>
      <c r="J55" s="109">
        <f>SUMIF('Car 7 - 00680'!$D$7:$D$300,$B55,'Car 7 - 00680'!$E$7:$E$300)+COUNTIFS('Car 7 - 00680'!$D$7:$D$300,$B55,'Car 7 - 00680'!$E$7:$E$300,"")</f>
        <v>0</v>
      </c>
      <c r="K55" s="109">
        <f>SUMIF('Car 8 - 00523'!$D$7:$D$300,$B55,'Car 8 - 00523'!$E$7:$E$300)+COUNTIFS('Car 8 - 00523'!$D$7:$D$300,$B55,'Car 8 - 00523'!$E$7:$E$300,"")</f>
        <v>0</v>
      </c>
      <c r="L55" s="109">
        <f>SUMIF('Car 9 - 00097'!$D$7:$D$300,$B55,'Car 9 - 00097'!$E$7:$E$300)+COUNTIFS('Car 9 - 00097'!$D$7:$D$300,$B55,'Car 9 - 00097'!$E$7:$E$300,"")</f>
        <v>0</v>
      </c>
      <c r="M55" s="109">
        <f>SUMIF('Car 10 - 01352'!$D$7:$D$300,$B55,'Car 10 - 01352'!$E$7:$E$300)+COUNTIFS('Car 10 - 01352'!$D$7:$D$300,$B55,'Car 10 - 01352'!$E$7:$E$300,"")</f>
        <v>1</v>
      </c>
      <c r="N55" s="109">
        <f>SUM(D55:M55)</f>
        <v>1</v>
      </c>
    </row>
    <row r="56">
      <c r="A56" s="108" t="inlineStr">
        <is>
          <t>ASSEMBLY SEAT DRIVER</t>
        </is>
      </c>
      <c r="B56" s="109" t="inlineStr">
        <is>
          <t>BF191175</t>
        </is>
      </c>
      <c r="C56" s="108" t="inlineStr">
        <is>
          <t>شاسيه كرسي السائق</t>
        </is>
      </c>
      <c r="D56" s="109">
        <f>SUMIF('Car 1 - 00569'!$D$7:$D$300,$B56,'Car 1 - 00569'!$E$7:$E$300)+COUNTIFS('Car 1 - 00569'!$D$7:$D$300,$B56,'Car 1 - 00569'!$E$7:$E$300,"")</f>
        <v>0</v>
      </c>
      <c r="E56" s="109">
        <f>SUMIF('Car 2 - 01124'!$D$7:$D$300,$B56,'Car 2 - 01124'!$E$7:$E$300)+COUNTIFS('Car 2 - 01124'!$D$7:$D$300,$B56,'Car 2 - 01124'!$E$7:$E$300,"")</f>
        <v>1</v>
      </c>
      <c r="F56" s="109">
        <f>SUMIF('Car 3 - 00133'!$D$7:$D$300,$B56,'Car 3 - 00133'!$E$7:$E$300)+COUNTIFS('Car 3 - 00133'!$D$7:$D$300,$B56,'Car 3 - 00133'!$E$7:$E$300,"")</f>
        <v>0</v>
      </c>
      <c r="G56" s="109">
        <f>SUMIF('Car 4 - 00679'!$D$7:$D$300,$B56,'Car 4 - 00679'!$E$7:$E$300)+COUNTIFS('Car 4 - 00679'!$D$7:$D$300,$B56,'Car 4 - 00679'!$E$7:$E$300,"")</f>
        <v>0</v>
      </c>
      <c r="H56" s="109">
        <f>SUMIF('Car 5 - 00557'!$D$7:$D$300,$B56,'Car 5 - 00557'!$E$7:$E$300)+COUNTIFS('Car 5 - 00557'!$D$7:$D$300,$B56,'Car 5 - 00557'!$E$7:$E$300,"")</f>
        <v>0</v>
      </c>
      <c r="I56" s="109">
        <f>SUMIF('Car 6 - 00663'!$D$7:$D$300,$B56,'Car 6 - 00663'!$E$7:$E$300)+COUNTIFS('Car 6 - 00663'!$D$7:$D$300,$B56,'Car 6 - 00663'!$E$7:$E$300,"")</f>
        <v>0</v>
      </c>
      <c r="J56" s="109">
        <f>SUMIF('Car 7 - 00680'!$D$7:$D$300,$B56,'Car 7 - 00680'!$E$7:$E$300)+COUNTIFS('Car 7 - 00680'!$D$7:$D$300,$B56,'Car 7 - 00680'!$E$7:$E$300,"")</f>
        <v>0</v>
      </c>
      <c r="K56" s="109">
        <f>SUMIF('Car 8 - 00523'!$D$7:$D$300,$B56,'Car 8 - 00523'!$E$7:$E$300)+COUNTIFS('Car 8 - 00523'!$D$7:$D$300,$B56,'Car 8 - 00523'!$E$7:$E$300,"")</f>
        <v>0</v>
      </c>
      <c r="L56" s="109">
        <f>SUMIF('Car 9 - 00097'!$D$7:$D$300,$B56,'Car 9 - 00097'!$E$7:$E$300)+COUNTIFS('Car 9 - 00097'!$D$7:$D$300,$B56,'Car 9 - 00097'!$E$7:$E$300,"")</f>
        <v>0</v>
      </c>
      <c r="M56" s="109">
        <f>SUMIF('Car 10 - 01352'!$D$7:$D$300,$B56,'Car 10 - 01352'!$E$7:$E$300)+COUNTIFS('Car 10 - 01352'!$D$7:$D$300,$B56,'Car 10 - 01352'!$E$7:$E$300,"")</f>
        <v>0</v>
      </c>
      <c r="N56" s="109">
        <f>SUM(D56:M56)</f>
        <v>1</v>
      </c>
    </row>
    <row r="57">
      <c r="A57" s="108" t="inlineStr">
        <is>
          <t>CUSHION ASSEMBLY-SEAT- REAR</t>
        </is>
      </c>
      <c r="B57" s="109" t="inlineStr">
        <is>
          <t>BF191207</t>
        </is>
      </c>
      <c r="C57" s="108" t="inlineStr">
        <is>
          <t>شالتة خلفي</t>
        </is>
      </c>
      <c r="D57" s="109">
        <f>SUMIF('Car 1 - 00569'!$D$7:$D$300,$B57,'Car 1 - 00569'!$E$7:$E$300)+COUNTIFS('Car 1 - 00569'!$D$7:$D$300,$B57,'Car 1 - 00569'!$E$7:$E$300,"")</f>
        <v>0</v>
      </c>
      <c r="E57" s="109">
        <f>SUMIF('Car 2 - 01124'!$D$7:$D$300,$B57,'Car 2 - 01124'!$E$7:$E$300)+COUNTIFS('Car 2 - 01124'!$D$7:$D$300,$B57,'Car 2 - 01124'!$E$7:$E$300,"")</f>
        <v>1</v>
      </c>
      <c r="F57" s="109">
        <f>SUMIF('Car 3 - 00133'!$D$7:$D$300,$B57,'Car 3 - 00133'!$E$7:$E$300)+COUNTIFS('Car 3 - 00133'!$D$7:$D$300,$B57,'Car 3 - 00133'!$E$7:$E$300,"")</f>
        <v>0</v>
      </c>
      <c r="G57" s="109">
        <f>SUMIF('Car 4 - 00679'!$D$7:$D$300,$B57,'Car 4 - 00679'!$E$7:$E$300)+COUNTIFS('Car 4 - 00679'!$D$7:$D$300,$B57,'Car 4 - 00679'!$E$7:$E$300,"")</f>
        <v>0</v>
      </c>
      <c r="H57" s="109">
        <f>SUMIF('Car 5 - 00557'!$D$7:$D$300,$B57,'Car 5 - 00557'!$E$7:$E$300)+COUNTIFS('Car 5 - 00557'!$D$7:$D$300,$B57,'Car 5 - 00557'!$E$7:$E$300,"")</f>
        <v>0</v>
      </c>
      <c r="I57" s="109">
        <f>SUMIF('Car 6 - 00663'!$D$7:$D$300,$B57,'Car 6 - 00663'!$E$7:$E$300)+COUNTIFS('Car 6 - 00663'!$D$7:$D$300,$B57,'Car 6 - 00663'!$E$7:$E$300,"")</f>
        <v>0</v>
      </c>
      <c r="J57" s="109">
        <f>SUMIF('Car 7 - 00680'!$D$7:$D$300,$B57,'Car 7 - 00680'!$E$7:$E$300)+COUNTIFS('Car 7 - 00680'!$D$7:$D$300,$B57,'Car 7 - 00680'!$E$7:$E$300,"")</f>
        <v>0</v>
      </c>
      <c r="K57" s="109">
        <f>SUMIF('Car 8 - 00523'!$D$7:$D$300,$B57,'Car 8 - 00523'!$E$7:$E$300)+COUNTIFS('Car 8 - 00523'!$D$7:$D$300,$B57,'Car 8 - 00523'!$E$7:$E$300,"")</f>
        <v>0</v>
      </c>
      <c r="L57" s="109">
        <f>SUMIF('Car 9 - 00097'!$D$7:$D$300,$B57,'Car 9 - 00097'!$E$7:$E$300)+COUNTIFS('Car 9 - 00097'!$D$7:$D$300,$B57,'Car 9 - 00097'!$E$7:$E$300,"")</f>
        <v>0</v>
      </c>
      <c r="M57" s="109">
        <f>SUMIF('Car 10 - 01352'!$D$7:$D$300,$B57,'Car 10 - 01352'!$E$7:$E$300)+COUNTIFS('Car 10 - 01352'!$D$7:$D$300,$B57,'Car 10 - 01352'!$E$7:$E$300,"")</f>
        <v>0</v>
      </c>
      <c r="N57" s="109">
        <f>SUM(D57:M57)</f>
        <v>1</v>
      </c>
    </row>
    <row r="58">
      <c r="A58" s="108" t="inlineStr">
        <is>
          <t>BRACKET CLAMP BATTERY</t>
        </is>
      </c>
      <c r="B58" s="109" t="inlineStr">
        <is>
          <t>BF211543</t>
        </is>
      </c>
      <c r="C58" s="108" t="inlineStr">
        <is>
          <t>افيز بطارية</t>
        </is>
      </c>
      <c r="D58" s="109">
        <f>SUMIF('Car 1 - 00569'!$D$7:$D$300,$B58,'Car 1 - 00569'!$E$7:$E$300)+COUNTIFS('Car 1 - 00569'!$D$7:$D$300,$B58,'Car 1 - 00569'!$E$7:$E$300,"")</f>
        <v>0</v>
      </c>
      <c r="E58" s="109">
        <f>SUMIF('Car 2 - 01124'!$D$7:$D$300,$B58,'Car 2 - 01124'!$E$7:$E$300)+COUNTIFS('Car 2 - 01124'!$D$7:$D$300,$B58,'Car 2 - 01124'!$E$7:$E$300,"")</f>
        <v>0</v>
      </c>
      <c r="F58" s="109">
        <f>SUMIF('Car 3 - 00133'!$D$7:$D$300,$B58,'Car 3 - 00133'!$E$7:$E$300)+COUNTIFS('Car 3 - 00133'!$D$7:$D$300,$B58,'Car 3 - 00133'!$E$7:$E$300,"")</f>
        <v>0</v>
      </c>
      <c r="G58" s="109">
        <f>SUMIF('Car 4 - 00679'!$D$7:$D$300,$B58,'Car 4 - 00679'!$E$7:$E$300)+COUNTIFS('Car 4 - 00679'!$D$7:$D$300,$B58,'Car 4 - 00679'!$E$7:$E$300,"")</f>
        <v>1</v>
      </c>
      <c r="H58" s="109">
        <f>SUMIF('Car 5 - 00557'!$D$7:$D$300,$B58,'Car 5 - 00557'!$E$7:$E$300)+COUNTIFS('Car 5 - 00557'!$D$7:$D$300,$B58,'Car 5 - 00557'!$E$7:$E$300,"")</f>
        <v>1</v>
      </c>
      <c r="I58" s="109">
        <f>SUMIF('Car 6 - 00663'!$D$7:$D$300,$B58,'Car 6 - 00663'!$E$7:$E$300)+COUNTIFS('Car 6 - 00663'!$D$7:$D$300,$B58,'Car 6 - 00663'!$E$7:$E$300,"")</f>
        <v>0</v>
      </c>
      <c r="J58" s="109">
        <f>SUMIF('Car 7 - 00680'!$D$7:$D$300,$B58,'Car 7 - 00680'!$E$7:$E$300)+COUNTIFS('Car 7 - 00680'!$D$7:$D$300,$B58,'Car 7 - 00680'!$E$7:$E$300,"")</f>
        <v>1</v>
      </c>
      <c r="K58" s="109">
        <f>SUMIF('Car 8 - 00523'!$D$7:$D$300,$B58,'Car 8 - 00523'!$E$7:$E$300)+COUNTIFS('Car 8 - 00523'!$D$7:$D$300,$B58,'Car 8 - 00523'!$E$7:$E$300,"")</f>
        <v>0</v>
      </c>
      <c r="L58" s="109">
        <f>SUMIF('Car 9 - 00097'!$D$7:$D$300,$B58,'Car 9 - 00097'!$E$7:$E$300)+COUNTIFS('Car 9 - 00097'!$D$7:$D$300,$B58,'Car 9 - 00097'!$E$7:$E$300,"")</f>
        <v>1</v>
      </c>
      <c r="M58" s="109">
        <f>SUMIF('Car 10 - 01352'!$D$7:$D$300,$B58,'Car 10 - 01352'!$E$7:$E$300)+COUNTIFS('Car 10 - 01352'!$D$7:$D$300,$B58,'Car 10 - 01352'!$E$7:$E$300,"")</f>
        <v>0</v>
      </c>
      <c r="N58" s="109">
        <f>SUM(D58:M58)</f>
        <v>4</v>
      </c>
    </row>
    <row r="59">
      <c r="A59" s="108" t="inlineStr">
        <is>
          <t>ARRESTER BATTERY CLAMP ROD</t>
        </is>
      </c>
      <c r="B59" s="109" t="inlineStr">
        <is>
          <t>BF211544</t>
        </is>
      </c>
      <c r="C59" s="108" t="inlineStr">
        <is>
          <t>ضمن: افيز بطارية</t>
        </is>
      </c>
      <c r="D59" s="109">
        <f>SUMIF('Car 1 - 00569'!$D$7:$D$300,$B59,'Car 1 - 00569'!$E$7:$E$300)+COUNTIFS('Car 1 - 00569'!$D$7:$D$300,$B59,'Car 1 - 00569'!$E$7:$E$300,"")</f>
        <v>0</v>
      </c>
      <c r="E59" s="109">
        <f>SUMIF('Car 2 - 01124'!$D$7:$D$300,$B59,'Car 2 - 01124'!$E$7:$E$300)+COUNTIFS('Car 2 - 01124'!$D$7:$D$300,$B59,'Car 2 - 01124'!$E$7:$E$300,"")</f>
        <v>0</v>
      </c>
      <c r="F59" s="109">
        <f>SUMIF('Car 3 - 00133'!$D$7:$D$300,$B59,'Car 3 - 00133'!$E$7:$E$300)+COUNTIFS('Car 3 - 00133'!$D$7:$D$300,$B59,'Car 3 - 00133'!$E$7:$E$300,"")</f>
        <v>0</v>
      </c>
      <c r="G59" s="109">
        <f>SUMIF('Car 4 - 00679'!$D$7:$D$300,$B59,'Car 4 - 00679'!$E$7:$E$300)+COUNTIFS('Car 4 - 00679'!$D$7:$D$300,$B59,'Car 4 - 00679'!$E$7:$E$300,"")</f>
        <v>1</v>
      </c>
      <c r="H59" s="109">
        <f>SUMIF('Car 5 - 00557'!$D$7:$D$300,$B59,'Car 5 - 00557'!$E$7:$E$300)+COUNTIFS('Car 5 - 00557'!$D$7:$D$300,$B59,'Car 5 - 00557'!$E$7:$E$300,"")</f>
        <v>1</v>
      </c>
      <c r="I59" s="109">
        <f>SUMIF('Car 6 - 00663'!$D$7:$D$300,$B59,'Car 6 - 00663'!$E$7:$E$300)+COUNTIFS('Car 6 - 00663'!$D$7:$D$300,$B59,'Car 6 - 00663'!$E$7:$E$300,"")</f>
        <v>0</v>
      </c>
      <c r="J59" s="109">
        <f>SUMIF('Car 7 - 00680'!$D$7:$D$300,$B59,'Car 7 - 00680'!$E$7:$E$300)+COUNTIFS('Car 7 - 00680'!$D$7:$D$300,$B59,'Car 7 - 00680'!$E$7:$E$300,"")</f>
        <v>1</v>
      </c>
      <c r="K59" s="109">
        <f>SUMIF('Car 8 - 00523'!$D$7:$D$300,$B59,'Car 8 - 00523'!$E$7:$E$300)+COUNTIFS('Car 8 - 00523'!$D$7:$D$300,$B59,'Car 8 - 00523'!$E$7:$E$300,"")</f>
        <v>0</v>
      </c>
      <c r="L59" s="109">
        <f>SUMIF('Car 9 - 00097'!$D$7:$D$300,$B59,'Car 9 - 00097'!$E$7:$E$300)+COUNTIFS('Car 9 - 00097'!$D$7:$D$300,$B59,'Car 9 - 00097'!$E$7:$E$300,"")</f>
        <v>1</v>
      </c>
      <c r="M59" s="109">
        <f>SUMIF('Car 10 - 01352'!$D$7:$D$300,$B59,'Car 10 - 01352'!$E$7:$E$300)+COUNTIFS('Car 10 - 01352'!$D$7:$D$300,$B59,'Car 10 - 01352'!$E$7:$E$300,"")</f>
        <v>0</v>
      </c>
      <c r="N59" s="109">
        <f>SUM(D59:M59)</f>
        <v>4</v>
      </c>
    </row>
    <row r="60">
      <c r="A60" s="108" t="inlineStr">
        <is>
          <t>CLIP</t>
        </is>
      </c>
      <c r="B60" s="109" t="inlineStr">
        <is>
          <t>BF241152</t>
        </is>
      </c>
      <c r="C60" s="108" t="inlineStr">
        <is>
          <t>كلبسات فبرة زجاج</t>
        </is>
      </c>
      <c r="D60" s="109">
        <f>SUMIF('Car 1 - 00569'!$D$7:$D$300,$B60,'Car 1 - 00569'!$E$7:$E$300)+COUNTIFS('Car 1 - 00569'!$D$7:$D$300,$B60,'Car 1 - 00569'!$E$7:$E$300,"")</f>
        <v>8</v>
      </c>
      <c r="E60" s="109">
        <f>SUMIF('Car 2 - 01124'!$D$7:$D$300,$B60,'Car 2 - 01124'!$E$7:$E$300)+COUNTIFS('Car 2 - 01124'!$D$7:$D$300,$B60,'Car 2 - 01124'!$E$7:$E$300,"")</f>
        <v>0</v>
      </c>
      <c r="F60" s="109">
        <f>SUMIF('Car 3 - 00133'!$D$7:$D$300,$B60,'Car 3 - 00133'!$E$7:$E$300)+COUNTIFS('Car 3 - 00133'!$D$7:$D$300,$B60,'Car 3 - 00133'!$E$7:$E$300,"")</f>
        <v>16</v>
      </c>
      <c r="G60" s="109">
        <f>SUMIF('Car 4 - 00679'!$D$7:$D$300,$B60,'Car 4 - 00679'!$E$7:$E$300)+COUNTIFS('Car 4 - 00679'!$D$7:$D$300,$B60,'Car 4 - 00679'!$E$7:$E$300,"")</f>
        <v>0</v>
      </c>
      <c r="H60" s="109">
        <f>SUMIF('Car 5 - 00557'!$D$7:$D$300,$B60,'Car 5 - 00557'!$E$7:$E$300)+COUNTIFS('Car 5 - 00557'!$D$7:$D$300,$B60,'Car 5 - 00557'!$E$7:$E$300,"")</f>
        <v>16</v>
      </c>
      <c r="I60" s="109">
        <f>SUMIF('Car 6 - 00663'!$D$7:$D$300,$B60,'Car 6 - 00663'!$E$7:$E$300)+COUNTIFS('Car 6 - 00663'!$D$7:$D$300,$B60,'Car 6 - 00663'!$E$7:$E$300,"")</f>
        <v>0</v>
      </c>
      <c r="J60" s="109">
        <f>SUMIF('Car 7 - 00680'!$D$7:$D$300,$B60,'Car 7 - 00680'!$E$7:$E$300)+COUNTIFS('Car 7 - 00680'!$D$7:$D$300,$B60,'Car 7 - 00680'!$E$7:$E$300,"")</f>
        <v>16</v>
      </c>
      <c r="K60" s="109">
        <f>SUMIF('Car 8 - 00523'!$D$7:$D$300,$B60,'Car 8 - 00523'!$E$7:$E$300)+COUNTIFS('Car 8 - 00523'!$D$7:$D$300,$B60,'Car 8 - 00523'!$E$7:$E$300,"")</f>
        <v>0</v>
      </c>
      <c r="L60" s="109">
        <f>SUMIF('Car 9 - 00097'!$D$7:$D$300,$B60,'Car 9 - 00097'!$E$7:$E$300)+COUNTIFS('Car 9 - 00097'!$D$7:$D$300,$B60,'Car 9 - 00097'!$E$7:$E$300,"")</f>
        <v>16</v>
      </c>
      <c r="M60" s="109">
        <f>SUMIF('Car 10 - 01352'!$D$7:$D$300,$B60,'Car 10 - 01352'!$E$7:$E$300)+COUNTIFS('Car 10 - 01352'!$D$7:$D$300,$B60,'Car 10 - 01352'!$E$7:$E$300,"")</f>
        <v>0</v>
      </c>
      <c r="N60" s="109">
        <f>SUM(D60:M60)</f>
        <v>72</v>
      </c>
    </row>
    <row r="61" ht="33" customHeight="1" s="29">
      <c r="A61" s="108" t="inlineStr">
        <is>
          <t>GLASS WINDOW FRONT FRONT LH</t>
        </is>
      </c>
      <c r="B61" s="109" t="inlineStr">
        <is>
          <t>BF243049</t>
        </is>
      </c>
      <c r="C61" s="108" t="inlineStr">
        <is>
          <t>ضمن: زجاج باب أمامي شمال + فريم كامل + جوانات باب + لوك + فبرة زجاج</t>
        </is>
      </c>
      <c r="D61" s="109">
        <f>SUMIF('Car 1 - 00569'!$D$7:$D$300,$B61,'Car 1 - 00569'!$E$7:$E$300)+COUNTIFS('Car 1 - 00569'!$D$7:$D$300,$B61,'Car 1 - 00569'!$E$7:$E$300,"")</f>
        <v>0</v>
      </c>
      <c r="E61" s="109">
        <f>SUMIF('Car 2 - 01124'!$D$7:$D$300,$B61,'Car 2 - 01124'!$E$7:$E$300)+COUNTIFS('Car 2 - 01124'!$D$7:$D$300,$B61,'Car 2 - 01124'!$E$7:$E$300,"")</f>
        <v>0</v>
      </c>
      <c r="F61" s="109">
        <f>SUMIF('Car 3 - 00133'!$D$7:$D$300,$B61,'Car 3 - 00133'!$E$7:$E$300)+COUNTIFS('Car 3 - 00133'!$D$7:$D$300,$B61,'Car 3 - 00133'!$E$7:$E$300,"")</f>
        <v>1</v>
      </c>
      <c r="G61" s="109">
        <f>SUMIF('Car 4 - 00679'!$D$7:$D$300,$B61,'Car 4 - 00679'!$E$7:$E$300)+COUNTIFS('Car 4 - 00679'!$D$7:$D$300,$B61,'Car 4 - 00679'!$E$7:$E$300,"")</f>
        <v>0</v>
      </c>
      <c r="H61" s="109">
        <f>SUMIF('Car 5 - 00557'!$D$7:$D$300,$B61,'Car 5 - 00557'!$E$7:$E$300)+COUNTIFS('Car 5 - 00557'!$D$7:$D$300,$B61,'Car 5 - 00557'!$E$7:$E$300,"")</f>
        <v>1</v>
      </c>
      <c r="I61" s="109">
        <f>SUMIF('Car 6 - 00663'!$D$7:$D$300,$B61,'Car 6 - 00663'!$E$7:$E$300)+COUNTIFS('Car 6 - 00663'!$D$7:$D$300,$B61,'Car 6 - 00663'!$E$7:$E$300,"")</f>
        <v>0</v>
      </c>
      <c r="J61" s="109">
        <f>SUMIF('Car 7 - 00680'!$D$7:$D$300,$B61,'Car 7 - 00680'!$E$7:$E$300)+COUNTIFS('Car 7 - 00680'!$D$7:$D$300,$B61,'Car 7 - 00680'!$E$7:$E$300,"")</f>
        <v>1</v>
      </c>
      <c r="K61" s="109">
        <f>SUMIF('Car 8 - 00523'!$D$7:$D$300,$B61,'Car 8 - 00523'!$E$7:$E$300)+COUNTIFS('Car 8 - 00523'!$D$7:$D$300,$B61,'Car 8 - 00523'!$E$7:$E$300,"")</f>
        <v>0</v>
      </c>
      <c r="L61" s="109">
        <f>SUMIF('Car 9 - 00097'!$D$7:$D$300,$B61,'Car 9 - 00097'!$E$7:$E$300)+COUNTIFS('Car 9 - 00097'!$D$7:$D$300,$B61,'Car 9 - 00097'!$E$7:$E$300,"")</f>
        <v>1</v>
      </c>
      <c r="M61" s="109">
        <f>SUMIF('Car 10 - 01352'!$D$7:$D$300,$B61,'Car 10 - 01352'!$E$7:$E$300)+COUNTIFS('Car 10 - 01352'!$D$7:$D$300,$B61,'Car 10 - 01352'!$E$7:$E$300,"")</f>
        <v>0</v>
      </c>
      <c r="N61" s="109">
        <f>SUM(D61:M61)</f>
        <v>4</v>
      </c>
    </row>
    <row r="62" ht="33" customHeight="1" s="29">
      <c r="A62" s="108" t="inlineStr">
        <is>
          <t>GLASS WINDOW FRONT REAR LH</t>
        </is>
      </c>
      <c r="B62" s="109" t="inlineStr">
        <is>
          <t>BF243050</t>
        </is>
      </c>
      <c r="C62" s="108" t="inlineStr">
        <is>
          <t>ضمن: زجاج باب أمامي شمال + فريم كامل + جوانات باب + لوك + فبرة زجاج</t>
        </is>
      </c>
      <c r="D62" s="109">
        <f>SUMIF('Car 1 - 00569'!$D$7:$D$300,$B62,'Car 1 - 00569'!$E$7:$E$300)+COUNTIFS('Car 1 - 00569'!$D$7:$D$300,$B62,'Car 1 - 00569'!$E$7:$E$300,"")</f>
        <v>0</v>
      </c>
      <c r="E62" s="109">
        <f>SUMIF('Car 2 - 01124'!$D$7:$D$300,$B62,'Car 2 - 01124'!$E$7:$E$300)+COUNTIFS('Car 2 - 01124'!$D$7:$D$300,$B62,'Car 2 - 01124'!$E$7:$E$300,"")</f>
        <v>0</v>
      </c>
      <c r="F62" s="109">
        <f>SUMIF('Car 3 - 00133'!$D$7:$D$300,$B62,'Car 3 - 00133'!$E$7:$E$300)+COUNTIFS('Car 3 - 00133'!$D$7:$D$300,$B62,'Car 3 - 00133'!$E$7:$E$300,"")</f>
        <v>1</v>
      </c>
      <c r="G62" s="109">
        <f>SUMIF('Car 4 - 00679'!$D$7:$D$300,$B62,'Car 4 - 00679'!$E$7:$E$300)+COUNTIFS('Car 4 - 00679'!$D$7:$D$300,$B62,'Car 4 - 00679'!$E$7:$E$300,"")</f>
        <v>0</v>
      </c>
      <c r="H62" s="109">
        <f>SUMIF('Car 5 - 00557'!$D$7:$D$300,$B62,'Car 5 - 00557'!$E$7:$E$300)+COUNTIFS('Car 5 - 00557'!$D$7:$D$300,$B62,'Car 5 - 00557'!$E$7:$E$300,"")</f>
        <v>1</v>
      </c>
      <c r="I62" s="109">
        <f>SUMIF('Car 6 - 00663'!$D$7:$D$300,$B62,'Car 6 - 00663'!$E$7:$E$300)+COUNTIFS('Car 6 - 00663'!$D$7:$D$300,$B62,'Car 6 - 00663'!$E$7:$E$300,"")</f>
        <v>0</v>
      </c>
      <c r="J62" s="109">
        <f>SUMIF('Car 7 - 00680'!$D$7:$D$300,$B62,'Car 7 - 00680'!$E$7:$E$300)+COUNTIFS('Car 7 - 00680'!$D$7:$D$300,$B62,'Car 7 - 00680'!$E$7:$E$300,"")</f>
        <v>1</v>
      </c>
      <c r="K62" s="109">
        <f>SUMIF('Car 8 - 00523'!$D$7:$D$300,$B62,'Car 8 - 00523'!$E$7:$E$300)+COUNTIFS('Car 8 - 00523'!$D$7:$D$300,$B62,'Car 8 - 00523'!$E$7:$E$300,"")</f>
        <v>0</v>
      </c>
      <c r="L62" s="109">
        <f>SUMIF('Car 9 - 00097'!$D$7:$D$300,$B62,'Car 9 - 00097'!$E$7:$E$300)+COUNTIFS('Car 9 - 00097'!$D$7:$D$300,$B62,'Car 9 - 00097'!$E$7:$E$300,"")</f>
        <v>1</v>
      </c>
      <c r="M62" s="109">
        <f>SUMIF('Car 10 - 01352'!$D$7:$D$300,$B62,'Car 10 - 01352'!$E$7:$E$300)+COUNTIFS('Car 10 - 01352'!$D$7:$D$300,$B62,'Car 10 - 01352'!$E$7:$E$300,"")</f>
        <v>0</v>
      </c>
      <c r="N62" s="109">
        <f>SUM(D62:M62)</f>
        <v>4</v>
      </c>
    </row>
    <row r="63" ht="33" customHeight="1" s="29">
      <c r="A63" s="108" t="inlineStr">
        <is>
          <t>CHANNEL FRT DOOR SLIDING TOP LH</t>
        </is>
      </c>
      <c r="B63" s="109" t="inlineStr">
        <is>
          <t>BF243057</t>
        </is>
      </c>
      <c r="C63" s="108" t="inlineStr">
        <is>
          <t>ضمن: زجاج باب أمامي شمال + فريم كامل + جوانات باب + لوك + فبرة زجاج</t>
        </is>
      </c>
      <c r="D63" s="109">
        <f>SUMIF('Car 1 - 00569'!$D$7:$D$300,$B63,'Car 1 - 00569'!$E$7:$E$300)+COUNTIFS('Car 1 - 00569'!$D$7:$D$300,$B63,'Car 1 - 00569'!$E$7:$E$300,"")</f>
        <v>0</v>
      </c>
      <c r="E63" s="109">
        <f>SUMIF('Car 2 - 01124'!$D$7:$D$300,$B63,'Car 2 - 01124'!$E$7:$E$300)+COUNTIFS('Car 2 - 01124'!$D$7:$D$300,$B63,'Car 2 - 01124'!$E$7:$E$300,"")</f>
        <v>0</v>
      </c>
      <c r="F63" s="109">
        <f>SUMIF('Car 3 - 00133'!$D$7:$D$300,$B63,'Car 3 - 00133'!$E$7:$E$300)+COUNTIFS('Car 3 - 00133'!$D$7:$D$300,$B63,'Car 3 - 00133'!$E$7:$E$300,"")</f>
        <v>1</v>
      </c>
      <c r="G63" s="109">
        <f>SUMIF('Car 4 - 00679'!$D$7:$D$300,$B63,'Car 4 - 00679'!$E$7:$E$300)+COUNTIFS('Car 4 - 00679'!$D$7:$D$300,$B63,'Car 4 - 00679'!$E$7:$E$300,"")</f>
        <v>0</v>
      </c>
      <c r="H63" s="109">
        <f>SUMIF('Car 5 - 00557'!$D$7:$D$300,$B63,'Car 5 - 00557'!$E$7:$E$300)+COUNTIFS('Car 5 - 00557'!$D$7:$D$300,$B63,'Car 5 - 00557'!$E$7:$E$300,"")</f>
        <v>1</v>
      </c>
      <c r="I63" s="109">
        <f>SUMIF('Car 6 - 00663'!$D$7:$D$300,$B63,'Car 6 - 00663'!$E$7:$E$300)+COUNTIFS('Car 6 - 00663'!$D$7:$D$300,$B63,'Car 6 - 00663'!$E$7:$E$300,"")</f>
        <v>0</v>
      </c>
      <c r="J63" s="109">
        <f>SUMIF('Car 7 - 00680'!$D$7:$D$300,$B63,'Car 7 - 00680'!$E$7:$E$300)+COUNTIFS('Car 7 - 00680'!$D$7:$D$300,$B63,'Car 7 - 00680'!$E$7:$E$300,"")</f>
        <v>1</v>
      </c>
      <c r="K63" s="109">
        <f>SUMIF('Car 8 - 00523'!$D$7:$D$300,$B63,'Car 8 - 00523'!$E$7:$E$300)+COUNTIFS('Car 8 - 00523'!$D$7:$D$300,$B63,'Car 8 - 00523'!$E$7:$E$300,"")</f>
        <v>0</v>
      </c>
      <c r="L63" s="109">
        <f>SUMIF('Car 9 - 00097'!$D$7:$D$300,$B63,'Car 9 - 00097'!$E$7:$E$300)+COUNTIFS('Car 9 - 00097'!$D$7:$D$300,$B63,'Car 9 - 00097'!$E$7:$E$300,"")</f>
        <v>1</v>
      </c>
      <c r="M63" s="109">
        <f>SUMIF('Car 10 - 01352'!$D$7:$D$300,$B63,'Car 10 - 01352'!$E$7:$E$300)+COUNTIFS('Car 10 - 01352'!$D$7:$D$300,$B63,'Car 10 - 01352'!$E$7:$E$300,"")</f>
        <v>0</v>
      </c>
      <c r="N63" s="109">
        <f>SUM(D63:M63)</f>
        <v>4</v>
      </c>
    </row>
    <row r="64" ht="33" customHeight="1" s="29">
      <c r="A64" s="108" t="inlineStr">
        <is>
          <t>CHANNEL GLASS DOOR FR LOWER LH</t>
        </is>
      </c>
      <c r="B64" s="109" t="inlineStr">
        <is>
          <t>BF243058</t>
        </is>
      </c>
      <c r="C64" s="108" t="inlineStr">
        <is>
          <t>ضمن: زجاج باب أمامي شمال + فريم كامل + جوانات باب + لوك + فبرة زجاج</t>
        </is>
      </c>
      <c r="D64" s="109">
        <f>SUMIF('Car 1 - 00569'!$D$7:$D$300,$B64,'Car 1 - 00569'!$E$7:$E$300)+COUNTIFS('Car 1 - 00569'!$D$7:$D$300,$B64,'Car 1 - 00569'!$E$7:$E$300,"")</f>
        <v>0</v>
      </c>
      <c r="E64" s="109">
        <f>SUMIF('Car 2 - 01124'!$D$7:$D$300,$B64,'Car 2 - 01124'!$E$7:$E$300)+COUNTIFS('Car 2 - 01124'!$D$7:$D$300,$B64,'Car 2 - 01124'!$E$7:$E$300,"")</f>
        <v>0</v>
      </c>
      <c r="F64" s="109">
        <f>SUMIF('Car 3 - 00133'!$D$7:$D$300,$B64,'Car 3 - 00133'!$E$7:$E$300)+COUNTIFS('Car 3 - 00133'!$D$7:$D$300,$B64,'Car 3 - 00133'!$E$7:$E$300,"")</f>
        <v>1</v>
      </c>
      <c r="G64" s="109">
        <f>SUMIF('Car 4 - 00679'!$D$7:$D$300,$B64,'Car 4 - 00679'!$E$7:$E$300)+COUNTIFS('Car 4 - 00679'!$D$7:$D$300,$B64,'Car 4 - 00679'!$E$7:$E$300,"")</f>
        <v>0</v>
      </c>
      <c r="H64" s="109">
        <f>SUMIF('Car 5 - 00557'!$D$7:$D$300,$B64,'Car 5 - 00557'!$E$7:$E$300)+COUNTIFS('Car 5 - 00557'!$D$7:$D$300,$B64,'Car 5 - 00557'!$E$7:$E$300,"")</f>
        <v>1</v>
      </c>
      <c r="I64" s="109">
        <f>SUMIF('Car 6 - 00663'!$D$7:$D$300,$B64,'Car 6 - 00663'!$E$7:$E$300)+COUNTIFS('Car 6 - 00663'!$D$7:$D$300,$B64,'Car 6 - 00663'!$E$7:$E$300,"")</f>
        <v>0</v>
      </c>
      <c r="J64" s="109">
        <f>SUMIF('Car 7 - 00680'!$D$7:$D$300,$B64,'Car 7 - 00680'!$E$7:$E$300)+COUNTIFS('Car 7 - 00680'!$D$7:$D$300,$B64,'Car 7 - 00680'!$E$7:$E$300,"")</f>
        <v>1</v>
      </c>
      <c r="K64" s="109">
        <f>SUMIF('Car 8 - 00523'!$D$7:$D$300,$B64,'Car 8 - 00523'!$E$7:$E$300)+COUNTIFS('Car 8 - 00523'!$D$7:$D$300,$B64,'Car 8 - 00523'!$E$7:$E$300,"")</f>
        <v>0</v>
      </c>
      <c r="L64" s="109">
        <f>SUMIF('Car 9 - 00097'!$D$7:$D$300,$B64,'Car 9 - 00097'!$E$7:$E$300)+COUNTIFS('Car 9 - 00097'!$D$7:$D$300,$B64,'Car 9 - 00097'!$E$7:$E$300,"")</f>
        <v>1</v>
      </c>
      <c r="M64" s="109">
        <f>SUMIF('Car 10 - 01352'!$D$7:$D$300,$B64,'Car 10 - 01352'!$E$7:$E$300)+COUNTIFS('Car 10 - 01352'!$D$7:$D$300,$B64,'Car 10 - 01352'!$E$7:$E$300,"")</f>
        <v>0</v>
      </c>
      <c r="N64" s="109">
        <f>SUM(D64:M64)</f>
        <v>4</v>
      </c>
    </row>
    <row r="65" ht="33" customHeight="1" s="29">
      <c r="A65" s="108" t="inlineStr">
        <is>
          <t>LOCK RE60 SLIDING GLASS</t>
        </is>
      </c>
      <c r="B65" s="109" t="inlineStr">
        <is>
          <t>BF243066</t>
        </is>
      </c>
      <c r="C65" s="108" t="inlineStr">
        <is>
          <t>ضمن: زجاج باب أمامي شمال + فريم كامل + جوانات باب + لوك + فبرة زجاج</t>
        </is>
      </c>
      <c r="D65" s="109">
        <f>SUMIF('Car 1 - 00569'!$D$7:$D$300,$B65,'Car 1 - 00569'!$E$7:$E$300)+COUNTIFS('Car 1 - 00569'!$D$7:$D$300,$B65,'Car 1 - 00569'!$E$7:$E$300,"")</f>
        <v>0</v>
      </c>
      <c r="E65" s="109">
        <f>SUMIF('Car 2 - 01124'!$D$7:$D$300,$B65,'Car 2 - 01124'!$E$7:$E$300)+COUNTIFS('Car 2 - 01124'!$D$7:$D$300,$B65,'Car 2 - 01124'!$E$7:$E$300,"")</f>
        <v>0</v>
      </c>
      <c r="F65" s="109">
        <f>SUMIF('Car 3 - 00133'!$D$7:$D$300,$B65,'Car 3 - 00133'!$E$7:$E$300)+COUNTIFS('Car 3 - 00133'!$D$7:$D$300,$B65,'Car 3 - 00133'!$E$7:$E$300,"")</f>
        <v>2</v>
      </c>
      <c r="G65" s="109">
        <f>SUMIF('Car 4 - 00679'!$D$7:$D$300,$B65,'Car 4 - 00679'!$E$7:$E$300)+COUNTIFS('Car 4 - 00679'!$D$7:$D$300,$B65,'Car 4 - 00679'!$E$7:$E$300,"")</f>
        <v>0</v>
      </c>
      <c r="H65" s="109">
        <f>SUMIF('Car 5 - 00557'!$D$7:$D$300,$B65,'Car 5 - 00557'!$E$7:$E$300)+COUNTIFS('Car 5 - 00557'!$D$7:$D$300,$B65,'Car 5 - 00557'!$E$7:$E$300,"")</f>
        <v>2</v>
      </c>
      <c r="I65" s="109">
        <f>SUMIF('Car 6 - 00663'!$D$7:$D$300,$B65,'Car 6 - 00663'!$E$7:$E$300)+COUNTIFS('Car 6 - 00663'!$D$7:$D$300,$B65,'Car 6 - 00663'!$E$7:$E$300,"")</f>
        <v>0</v>
      </c>
      <c r="J65" s="109">
        <f>SUMIF('Car 7 - 00680'!$D$7:$D$300,$B65,'Car 7 - 00680'!$E$7:$E$300)+COUNTIFS('Car 7 - 00680'!$D$7:$D$300,$B65,'Car 7 - 00680'!$E$7:$E$300,"")</f>
        <v>10</v>
      </c>
      <c r="K65" s="109">
        <f>SUMIF('Car 8 - 00523'!$D$7:$D$300,$B65,'Car 8 - 00523'!$E$7:$E$300)+COUNTIFS('Car 8 - 00523'!$D$7:$D$300,$B65,'Car 8 - 00523'!$E$7:$E$300,"")</f>
        <v>8</v>
      </c>
      <c r="L65" s="109">
        <f>SUMIF('Car 9 - 00097'!$D$7:$D$300,$B65,'Car 9 - 00097'!$E$7:$E$300)+COUNTIFS('Car 9 - 00097'!$D$7:$D$300,$B65,'Car 9 - 00097'!$E$7:$E$300,"")</f>
        <v>2</v>
      </c>
      <c r="M65" s="109">
        <f>SUMIF('Car 10 - 01352'!$D$7:$D$300,$B65,'Car 10 - 01352'!$E$7:$E$300)+COUNTIFS('Car 10 - 01352'!$D$7:$D$300,$B65,'Car 10 - 01352'!$E$7:$E$300,"")</f>
        <v>0</v>
      </c>
      <c r="N65" s="109">
        <f>SUM(D65:M65)</f>
        <v>24</v>
      </c>
    </row>
    <row r="66" ht="33" customHeight="1" s="29">
      <c r="A66" s="108" t="inlineStr">
        <is>
          <t>COVER SLIDING FRT DOOR BTM LH</t>
        </is>
      </c>
      <c r="B66" s="109" t="inlineStr">
        <is>
          <t>BF243073</t>
        </is>
      </c>
      <c r="C66" s="108" t="inlineStr">
        <is>
          <t>ضمن: زجاج باب أمامي شمال + فريم كامل + جوانات باب + لوك + فبرة زجاج</t>
        </is>
      </c>
      <c r="D66" s="109">
        <f>SUMIF('Car 1 - 00569'!$D$7:$D$300,$B66,'Car 1 - 00569'!$E$7:$E$300)+COUNTIFS('Car 1 - 00569'!$D$7:$D$300,$B66,'Car 1 - 00569'!$E$7:$E$300,"")</f>
        <v>0</v>
      </c>
      <c r="E66" s="109">
        <f>SUMIF('Car 2 - 01124'!$D$7:$D$300,$B66,'Car 2 - 01124'!$E$7:$E$300)+COUNTIFS('Car 2 - 01124'!$D$7:$D$300,$B66,'Car 2 - 01124'!$E$7:$E$300,"")</f>
        <v>0</v>
      </c>
      <c r="F66" s="109">
        <f>SUMIF('Car 3 - 00133'!$D$7:$D$300,$B66,'Car 3 - 00133'!$E$7:$E$300)+COUNTIFS('Car 3 - 00133'!$D$7:$D$300,$B66,'Car 3 - 00133'!$E$7:$E$300,"")</f>
        <v>1</v>
      </c>
      <c r="G66" s="109">
        <f>SUMIF('Car 4 - 00679'!$D$7:$D$300,$B66,'Car 4 - 00679'!$E$7:$E$300)+COUNTIFS('Car 4 - 00679'!$D$7:$D$300,$B66,'Car 4 - 00679'!$E$7:$E$300,"")</f>
        <v>0</v>
      </c>
      <c r="H66" s="109">
        <f>SUMIF('Car 5 - 00557'!$D$7:$D$300,$B66,'Car 5 - 00557'!$E$7:$E$300)+COUNTIFS('Car 5 - 00557'!$D$7:$D$300,$B66,'Car 5 - 00557'!$E$7:$E$300,"")</f>
        <v>1</v>
      </c>
      <c r="I66" s="109">
        <f>SUMIF('Car 6 - 00663'!$D$7:$D$300,$B66,'Car 6 - 00663'!$E$7:$E$300)+COUNTIFS('Car 6 - 00663'!$D$7:$D$300,$B66,'Car 6 - 00663'!$E$7:$E$300,"")</f>
        <v>0</v>
      </c>
      <c r="J66" s="109">
        <f>SUMIF('Car 7 - 00680'!$D$7:$D$300,$B66,'Car 7 - 00680'!$E$7:$E$300)+COUNTIFS('Car 7 - 00680'!$D$7:$D$300,$B66,'Car 7 - 00680'!$E$7:$E$300,"")</f>
        <v>1</v>
      </c>
      <c r="K66" s="109">
        <f>SUMIF('Car 8 - 00523'!$D$7:$D$300,$B66,'Car 8 - 00523'!$E$7:$E$300)+COUNTIFS('Car 8 - 00523'!$D$7:$D$300,$B66,'Car 8 - 00523'!$E$7:$E$300,"")</f>
        <v>0</v>
      </c>
      <c r="L66" s="109">
        <f>SUMIF('Car 9 - 00097'!$D$7:$D$300,$B66,'Car 9 - 00097'!$E$7:$E$300)+COUNTIFS('Car 9 - 00097'!$D$7:$D$300,$B66,'Car 9 - 00097'!$E$7:$E$300,"")</f>
        <v>1</v>
      </c>
      <c r="M66" s="109">
        <f>SUMIF('Car 10 - 01352'!$D$7:$D$300,$B66,'Car 10 - 01352'!$E$7:$E$300)+COUNTIFS('Car 10 - 01352'!$D$7:$D$300,$B66,'Car 10 - 01352'!$E$7:$E$300,"")</f>
        <v>0</v>
      </c>
      <c r="N66" s="109">
        <f>SUM(D66:M66)</f>
        <v>4</v>
      </c>
    </row>
    <row r="67">
      <c r="A67" s="108" t="inlineStr">
        <is>
          <t>COVER SLIDING FRT DOOR BTM RH</t>
        </is>
      </c>
      <c r="B67" s="109" t="inlineStr">
        <is>
          <t>BF243074</t>
        </is>
      </c>
      <c r="C67" s="108" t="inlineStr">
        <is>
          <t>فبرة زجاج باب أمامي يمين سفليه</t>
        </is>
      </c>
      <c r="D67" s="109">
        <f>SUMIF('Car 1 - 00569'!$D$7:$D$300,$B67,'Car 1 - 00569'!$E$7:$E$300)+COUNTIFS('Car 1 - 00569'!$D$7:$D$300,$B67,'Car 1 - 00569'!$E$7:$E$300,"")</f>
        <v>1</v>
      </c>
      <c r="E67" s="109">
        <f>SUMIF('Car 2 - 01124'!$D$7:$D$300,$B67,'Car 2 - 01124'!$E$7:$E$300)+COUNTIFS('Car 2 - 01124'!$D$7:$D$300,$B67,'Car 2 - 01124'!$E$7:$E$300,"")</f>
        <v>1</v>
      </c>
      <c r="F67" s="109">
        <f>SUMIF('Car 3 - 00133'!$D$7:$D$300,$B67,'Car 3 - 00133'!$E$7:$E$300)+COUNTIFS('Car 3 - 00133'!$D$7:$D$300,$B67,'Car 3 - 00133'!$E$7:$E$300,"")</f>
        <v>1</v>
      </c>
      <c r="G67" s="109">
        <f>SUMIF('Car 4 - 00679'!$D$7:$D$300,$B67,'Car 4 - 00679'!$E$7:$E$300)+COUNTIFS('Car 4 - 00679'!$D$7:$D$300,$B67,'Car 4 - 00679'!$E$7:$E$300,"")</f>
        <v>1</v>
      </c>
      <c r="H67" s="109">
        <f>SUMIF('Car 5 - 00557'!$D$7:$D$300,$B67,'Car 5 - 00557'!$E$7:$E$300)+COUNTIFS('Car 5 - 00557'!$D$7:$D$300,$B67,'Car 5 - 00557'!$E$7:$E$300,"")</f>
        <v>0</v>
      </c>
      <c r="I67" s="109">
        <f>SUMIF('Car 6 - 00663'!$D$7:$D$300,$B67,'Car 6 - 00663'!$E$7:$E$300)+COUNTIFS('Car 6 - 00663'!$D$7:$D$300,$B67,'Car 6 - 00663'!$E$7:$E$300,"")</f>
        <v>0</v>
      </c>
      <c r="J67" s="109">
        <f>SUMIF('Car 7 - 00680'!$D$7:$D$300,$B67,'Car 7 - 00680'!$E$7:$E$300)+COUNTIFS('Car 7 - 00680'!$D$7:$D$300,$B67,'Car 7 - 00680'!$E$7:$E$300,"")</f>
        <v>0</v>
      </c>
      <c r="K67" s="109">
        <f>SUMIF('Car 8 - 00523'!$D$7:$D$300,$B67,'Car 8 - 00523'!$E$7:$E$300)+COUNTIFS('Car 8 - 00523'!$D$7:$D$300,$B67,'Car 8 - 00523'!$E$7:$E$300,"")</f>
        <v>0</v>
      </c>
      <c r="L67" s="109">
        <f>SUMIF('Car 9 - 00097'!$D$7:$D$300,$B67,'Car 9 - 00097'!$E$7:$E$300)+COUNTIFS('Car 9 - 00097'!$D$7:$D$300,$B67,'Car 9 - 00097'!$E$7:$E$300,"")</f>
        <v>1</v>
      </c>
      <c r="M67" s="109">
        <f>SUMIF('Car 10 - 01352'!$D$7:$D$300,$B67,'Car 10 - 01352'!$E$7:$E$300)+COUNTIFS('Car 10 - 01352'!$D$7:$D$300,$B67,'Car 10 - 01352'!$E$7:$E$300,"")</f>
        <v>0</v>
      </c>
      <c r="N67" s="109">
        <f>SUM(D67:M67)</f>
        <v>5</v>
      </c>
    </row>
    <row r="68" ht="33" customHeight="1" s="29">
      <c r="A68" s="108" t="inlineStr">
        <is>
          <t>FRAME DOOR FRONT LH</t>
        </is>
      </c>
      <c r="B68" s="109" t="inlineStr">
        <is>
          <t>BF243085</t>
        </is>
      </c>
      <c r="C68" s="108" t="inlineStr">
        <is>
          <t>زجاج باب أمامي شمال + فريم كامل + جوانات باب + لوك + فبرة زجاج</t>
        </is>
      </c>
      <c r="D68" s="109">
        <f>SUMIF('Car 1 - 00569'!$D$7:$D$300,$B68,'Car 1 - 00569'!$E$7:$E$300)+COUNTIFS('Car 1 - 00569'!$D$7:$D$300,$B68,'Car 1 - 00569'!$E$7:$E$300,"")</f>
        <v>0</v>
      </c>
      <c r="E68" s="109">
        <f>SUMIF('Car 2 - 01124'!$D$7:$D$300,$B68,'Car 2 - 01124'!$E$7:$E$300)+COUNTIFS('Car 2 - 01124'!$D$7:$D$300,$B68,'Car 2 - 01124'!$E$7:$E$300,"")</f>
        <v>0</v>
      </c>
      <c r="F68" s="109">
        <f>SUMIF('Car 3 - 00133'!$D$7:$D$300,$B68,'Car 3 - 00133'!$E$7:$E$300)+COUNTIFS('Car 3 - 00133'!$D$7:$D$300,$B68,'Car 3 - 00133'!$E$7:$E$300,"")</f>
        <v>1</v>
      </c>
      <c r="G68" s="109">
        <f>SUMIF('Car 4 - 00679'!$D$7:$D$300,$B68,'Car 4 - 00679'!$E$7:$E$300)+COUNTIFS('Car 4 - 00679'!$D$7:$D$300,$B68,'Car 4 - 00679'!$E$7:$E$300,"")</f>
        <v>0</v>
      </c>
      <c r="H68" s="109">
        <f>SUMIF('Car 5 - 00557'!$D$7:$D$300,$B68,'Car 5 - 00557'!$E$7:$E$300)+COUNTIFS('Car 5 - 00557'!$D$7:$D$300,$B68,'Car 5 - 00557'!$E$7:$E$300,"")</f>
        <v>1</v>
      </c>
      <c r="I68" s="109">
        <f>SUMIF('Car 6 - 00663'!$D$7:$D$300,$B68,'Car 6 - 00663'!$E$7:$E$300)+COUNTIFS('Car 6 - 00663'!$D$7:$D$300,$B68,'Car 6 - 00663'!$E$7:$E$300,"")</f>
        <v>0</v>
      </c>
      <c r="J68" s="109">
        <f>SUMIF('Car 7 - 00680'!$D$7:$D$300,$B68,'Car 7 - 00680'!$E$7:$E$300)+COUNTIFS('Car 7 - 00680'!$D$7:$D$300,$B68,'Car 7 - 00680'!$E$7:$E$300,"")</f>
        <v>1</v>
      </c>
      <c r="K68" s="109">
        <f>SUMIF('Car 8 - 00523'!$D$7:$D$300,$B68,'Car 8 - 00523'!$E$7:$E$300)+COUNTIFS('Car 8 - 00523'!$D$7:$D$300,$B68,'Car 8 - 00523'!$E$7:$E$300,"")</f>
        <v>0</v>
      </c>
      <c r="L68" s="109">
        <f>SUMIF('Car 9 - 00097'!$D$7:$D$300,$B68,'Car 9 - 00097'!$E$7:$E$300)+COUNTIFS('Car 9 - 00097'!$D$7:$D$300,$B68,'Car 9 - 00097'!$E$7:$E$300,"")</f>
        <v>1</v>
      </c>
      <c r="M68" s="109">
        <f>SUMIF('Car 10 - 01352'!$D$7:$D$300,$B68,'Car 10 - 01352'!$E$7:$E$300)+COUNTIFS('Car 10 - 01352'!$D$7:$D$300,$B68,'Car 10 - 01352'!$E$7:$E$300,"")</f>
        <v>0</v>
      </c>
      <c r="N68" s="109">
        <f>SUM(D68:M68)</f>
        <v>4</v>
      </c>
    </row>
    <row r="69" ht="33" customHeight="1" s="29">
      <c r="A69" s="108" t="inlineStr">
        <is>
          <t>BEADING FRONT LH LOWER</t>
        </is>
      </c>
      <c r="B69" s="109" t="inlineStr">
        <is>
          <t>BF243091</t>
        </is>
      </c>
      <c r="C69" s="108" t="inlineStr">
        <is>
          <t>ضمن: زجاج باب أمامي شمال + فريم كامل + جوانات باب + لوك + فبرة زجاج</t>
        </is>
      </c>
      <c r="D69" s="109">
        <f>SUMIF('Car 1 - 00569'!$D$7:$D$300,$B69,'Car 1 - 00569'!$E$7:$E$300)+COUNTIFS('Car 1 - 00569'!$D$7:$D$300,$B69,'Car 1 - 00569'!$E$7:$E$300,"")</f>
        <v>0</v>
      </c>
      <c r="E69" s="109">
        <f>SUMIF('Car 2 - 01124'!$D$7:$D$300,$B69,'Car 2 - 01124'!$E$7:$E$300)+COUNTIFS('Car 2 - 01124'!$D$7:$D$300,$B69,'Car 2 - 01124'!$E$7:$E$300,"")</f>
        <v>0</v>
      </c>
      <c r="F69" s="109">
        <f>SUMIF('Car 3 - 00133'!$D$7:$D$300,$B69,'Car 3 - 00133'!$E$7:$E$300)+COUNTIFS('Car 3 - 00133'!$D$7:$D$300,$B69,'Car 3 - 00133'!$E$7:$E$300,"")</f>
        <v>1</v>
      </c>
      <c r="G69" s="109">
        <f>SUMIF('Car 4 - 00679'!$D$7:$D$300,$B69,'Car 4 - 00679'!$E$7:$E$300)+COUNTIFS('Car 4 - 00679'!$D$7:$D$300,$B69,'Car 4 - 00679'!$E$7:$E$300,"")</f>
        <v>0</v>
      </c>
      <c r="H69" s="109">
        <f>SUMIF('Car 5 - 00557'!$D$7:$D$300,$B69,'Car 5 - 00557'!$E$7:$E$300)+COUNTIFS('Car 5 - 00557'!$D$7:$D$300,$B69,'Car 5 - 00557'!$E$7:$E$300,"")</f>
        <v>1</v>
      </c>
      <c r="I69" s="109">
        <f>SUMIF('Car 6 - 00663'!$D$7:$D$300,$B69,'Car 6 - 00663'!$E$7:$E$300)+COUNTIFS('Car 6 - 00663'!$D$7:$D$300,$B69,'Car 6 - 00663'!$E$7:$E$300,"")</f>
        <v>0</v>
      </c>
      <c r="J69" s="109">
        <f>SUMIF('Car 7 - 00680'!$D$7:$D$300,$B69,'Car 7 - 00680'!$E$7:$E$300)+COUNTIFS('Car 7 - 00680'!$D$7:$D$300,$B69,'Car 7 - 00680'!$E$7:$E$300,"")</f>
        <v>1</v>
      </c>
      <c r="K69" s="109">
        <f>SUMIF('Car 8 - 00523'!$D$7:$D$300,$B69,'Car 8 - 00523'!$E$7:$E$300)+COUNTIFS('Car 8 - 00523'!$D$7:$D$300,$B69,'Car 8 - 00523'!$E$7:$E$300,"")</f>
        <v>0</v>
      </c>
      <c r="L69" s="109">
        <f>SUMIF('Car 9 - 00097'!$D$7:$D$300,$B69,'Car 9 - 00097'!$E$7:$E$300)+COUNTIFS('Car 9 - 00097'!$D$7:$D$300,$B69,'Car 9 - 00097'!$E$7:$E$300,"")</f>
        <v>1</v>
      </c>
      <c r="M69" s="109">
        <f>SUMIF('Car 10 - 01352'!$D$7:$D$300,$B69,'Car 10 - 01352'!$E$7:$E$300)+COUNTIFS('Car 10 - 01352'!$D$7:$D$300,$B69,'Car 10 - 01352'!$E$7:$E$300,"")</f>
        <v>0</v>
      </c>
      <c r="N69" s="109">
        <f>SUM(D69:M69)</f>
        <v>4</v>
      </c>
    </row>
    <row r="70">
      <c r="A70" s="108" t="inlineStr">
        <is>
          <t>GUIDE CHNL BEADING FRT FRT</t>
        </is>
      </c>
      <c r="B70" s="109" t="inlineStr">
        <is>
          <t>BF243092</t>
        </is>
      </c>
      <c r="C70" s="108" t="inlineStr">
        <is>
          <t>جوان جانب خارجي</t>
        </is>
      </c>
      <c r="D70" s="109">
        <f>SUMIF('Car 1 - 00569'!$D$7:$D$300,$B70,'Car 1 - 00569'!$E$7:$E$300)+COUNTIFS('Car 1 - 00569'!$D$7:$D$300,$B70,'Car 1 - 00569'!$E$7:$E$300,"")</f>
        <v>0</v>
      </c>
      <c r="E70" s="109">
        <f>SUMIF('Car 2 - 01124'!$D$7:$D$300,$B70,'Car 2 - 01124'!$E$7:$E$300)+COUNTIFS('Car 2 - 01124'!$D$7:$D$300,$B70,'Car 2 - 01124'!$E$7:$E$300,"")</f>
        <v>1</v>
      </c>
      <c r="F70" s="109">
        <f>SUMIF('Car 3 - 00133'!$D$7:$D$300,$B70,'Car 3 - 00133'!$E$7:$E$300)+COUNTIFS('Car 3 - 00133'!$D$7:$D$300,$B70,'Car 3 - 00133'!$E$7:$E$300,"")</f>
        <v>0</v>
      </c>
      <c r="G70" s="109">
        <f>SUMIF('Car 4 - 00679'!$D$7:$D$300,$B70,'Car 4 - 00679'!$E$7:$E$300)+COUNTIFS('Car 4 - 00679'!$D$7:$D$300,$B70,'Car 4 - 00679'!$E$7:$E$300,"")</f>
        <v>0</v>
      </c>
      <c r="H70" s="109">
        <f>SUMIF('Car 5 - 00557'!$D$7:$D$300,$B70,'Car 5 - 00557'!$E$7:$E$300)+COUNTIFS('Car 5 - 00557'!$D$7:$D$300,$B70,'Car 5 - 00557'!$E$7:$E$300,"")</f>
        <v>0</v>
      </c>
      <c r="I70" s="109">
        <f>SUMIF('Car 6 - 00663'!$D$7:$D$300,$B70,'Car 6 - 00663'!$E$7:$E$300)+COUNTIFS('Car 6 - 00663'!$D$7:$D$300,$B70,'Car 6 - 00663'!$E$7:$E$300,"")</f>
        <v>0</v>
      </c>
      <c r="J70" s="109">
        <f>SUMIF('Car 7 - 00680'!$D$7:$D$300,$B70,'Car 7 - 00680'!$E$7:$E$300)+COUNTIFS('Car 7 - 00680'!$D$7:$D$300,$B70,'Car 7 - 00680'!$E$7:$E$300,"")</f>
        <v>0</v>
      </c>
      <c r="K70" s="109">
        <f>SUMIF('Car 8 - 00523'!$D$7:$D$300,$B70,'Car 8 - 00523'!$E$7:$E$300)+COUNTIFS('Car 8 - 00523'!$D$7:$D$300,$B70,'Car 8 - 00523'!$E$7:$E$300,"")</f>
        <v>0</v>
      </c>
      <c r="L70" s="109">
        <f>SUMIF('Car 9 - 00097'!$D$7:$D$300,$B70,'Car 9 - 00097'!$E$7:$E$300)+COUNTIFS('Car 9 - 00097'!$D$7:$D$300,$B70,'Car 9 - 00097'!$E$7:$E$300,"")</f>
        <v>0</v>
      </c>
      <c r="M70" s="109">
        <f>SUMIF('Car 10 - 01352'!$D$7:$D$300,$B70,'Car 10 - 01352'!$E$7:$E$300)+COUNTIFS('Car 10 - 01352'!$D$7:$D$300,$B70,'Car 10 - 01352'!$E$7:$E$300,"")</f>
        <v>0</v>
      </c>
      <c r="N70" s="109">
        <f>SUM(D70:M70)</f>
        <v>1</v>
      </c>
    </row>
    <row r="71" ht="33" customHeight="1" s="29">
      <c r="A71" s="108" t="inlineStr">
        <is>
          <t>GUIDE CHNL BEADING RR FRT</t>
        </is>
      </c>
      <c r="B71" s="109" t="inlineStr">
        <is>
          <t>BF243093</t>
        </is>
      </c>
      <c r="C71" s="108" t="inlineStr">
        <is>
          <t>ضمن: زجاج باب أمامي شمال + فريم كامل + جوانات باب + لوك + فبرة زجاج</t>
        </is>
      </c>
      <c r="D71" s="109">
        <f>SUMIF('Car 1 - 00569'!$D$7:$D$300,$B71,'Car 1 - 00569'!$E$7:$E$300)+COUNTIFS('Car 1 - 00569'!$D$7:$D$300,$B71,'Car 1 - 00569'!$E$7:$E$300,"")</f>
        <v>0</v>
      </c>
      <c r="E71" s="109">
        <f>SUMIF('Car 2 - 01124'!$D$7:$D$300,$B71,'Car 2 - 01124'!$E$7:$E$300)+COUNTIFS('Car 2 - 01124'!$D$7:$D$300,$B71,'Car 2 - 01124'!$E$7:$E$300,"")</f>
        <v>0</v>
      </c>
      <c r="F71" s="109">
        <f>SUMIF('Car 3 - 00133'!$D$7:$D$300,$B71,'Car 3 - 00133'!$E$7:$E$300)+COUNTIFS('Car 3 - 00133'!$D$7:$D$300,$B71,'Car 3 - 00133'!$E$7:$E$300,"")</f>
        <v>2</v>
      </c>
      <c r="G71" s="109">
        <f>SUMIF('Car 4 - 00679'!$D$7:$D$300,$B71,'Car 4 - 00679'!$E$7:$E$300)+COUNTIFS('Car 4 - 00679'!$D$7:$D$300,$B71,'Car 4 - 00679'!$E$7:$E$300,"")</f>
        <v>0</v>
      </c>
      <c r="H71" s="109">
        <f>SUMIF('Car 5 - 00557'!$D$7:$D$300,$B71,'Car 5 - 00557'!$E$7:$E$300)+COUNTIFS('Car 5 - 00557'!$D$7:$D$300,$B71,'Car 5 - 00557'!$E$7:$E$300,"")</f>
        <v>2</v>
      </c>
      <c r="I71" s="109">
        <f>SUMIF('Car 6 - 00663'!$D$7:$D$300,$B71,'Car 6 - 00663'!$E$7:$E$300)+COUNTIFS('Car 6 - 00663'!$D$7:$D$300,$B71,'Car 6 - 00663'!$E$7:$E$300,"")</f>
        <v>0</v>
      </c>
      <c r="J71" s="109">
        <f>SUMIF('Car 7 - 00680'!$D$7:$D$300,$B71,'Car 7 - 00680'!$E$7:$E$300)+COUNTIFS('Car 7 - 00680'!$D$7:$D$300,$B71,'Car 7 - 00680'!$E$7:$E$300,"")</f>
        <v>2</v>
      </c>
      <c r="K71" s="109">
        <f>SUMIF('Car 8 - 00523'!$D$7:$D$300,$B71,'Car 8 - 00523'!$E$7:$E$300)+COUNTIFS('Car 8 - 00523'!$D$7:$D$300,$B71,'Car 8 - 00523'!$E$7:$E$300,"")</f>
        <v>0</v>
      </c>
      <c r="L71" s="109">
        <f>SUMIF('Car 9 - 00097'!$D$7:$D$300,$B71,'Car 9 - 00097'!$E$7:$E$300)+COUNTIFS('Car 9 - 00097'!$D$7:$D$300,$B71,'Car 9 - 00097'!$E$7:$E$300,"")</f>
        <v>2</v>
      </c>
      <c r="M71" s="109">
        <f>SUMIF('Car 10 - 01352'!$D$7:$D$300,$B71,'Car 10 - 01352'!$E$7:$E$300)+COUNTIFS('Car 10 - 01352'!$D$7:$D$300,$B71,'Car 10 - 01352'!$E$7:$E$300,"")</f>
        <v>0</v>
      </c>
      <c r="N71" s="109">
        <f>SUM(D71:M71)</f>
        <v>8</v>
      </c>
    </row>
    <row r="72">
      <c r="A72" s="108" t="inlineStr">
        <is>
          <t>BEADING CHANNEL SLIDING</t>
        </is>
      </c>
      <c r="B72" s="109" t="inlineStr">
        <is>
          <t>BF243096</t>
        </is>
      </c>
      <c r="C72" s="108" t="inlineStr">
        <is>
          <t>ضمن: جوان جانب خارجي</t>
        </is>
      </c>
      <c r="D72" s="109">
        <f>SUMIF('Car 1 - 00569'!$D$7:$D$300,$B72,'Car 1 - 00569'!$E$7:$E$300)+COUNTIFS('Car 1 - 00569'!$D$7:$D$300,$B72,'Car 1 - 00569'!$E$7:$E$300,"")</f>
        <v>0</v>
      </c>
      <c r="E72" s="109">
        <f>SUMIF('Car 2 - 01124'!$D$7:$D$300,$B72,'Car 2 - 01124'!$E$7:$E$300)+COUNTIFS('Car 2 - 01124'!$D$7:$D$300,$B72,'Car 2 - 01124'!$E$7:$E$300,"")</f>
        <v>1</v>
      </c>
      <c r="F72" s="109">
        <f>SUMIF('Car 3 - 00133'!$D$7:$D$300,$B72,'Car 3 - 00133'!$E$7:$E$300)+COUNTIFS('Car 3 - 00133'!$D$7:$D$300,$B72,'Car 3 - 00133'!$E$7:$E$300,"")</f>
        <v>0</v>
      </c>
      <c r="G72" s="109">
        <f>SUMIF('Car 4 - 00679'!$D$7:$D$300,$B72,'Car 4 - 00679'!$E$7:$E$300)+COUNTIFS('Car 4 - 00679'!$D$7:$D$300,$B72,'Car 4 - 00679'!$E$7:$E$300,"")</f>
        <v>0</v>
      </c>
      <c r="H72" s="109">
        <f>SUMIF('Car 5 - 00557'!$D$7:$D$300,$B72,'Car 5 - 00557'!$E$7:$E$300)+COUNTIFS('Car 5 - 00557'!$D$7:$D$300,$B72,'Car 5 - 00557'!$E$7:$E$300,"")</f>
        <v>0</v>
      </c>
      <c r="I72" s="109">
        <f>SUMIF('Car 6 - 00663'!$D$7:$D$300,$B72,'Car 6 - 00663'!$E$7:$E$300)+COUNTIFS('Car 6 - 00663'!$D$7:$D$300,$B72,'Car 6 - 00663'!$E$7:$E$300,"")</f>
        <v>0</v>
      </c>
      <c r="J72" s="109">
        <f>SUMIF('Car 7 - 00680'!$D$7:$D$300,$B72,'Car 7 - 00680'!$E$7:$E$300)+COUNTIFS('Car 7 - 00680'!$D$7:$D$300,$B72,'Car 7 - 00680'!$E$7:$E$300,"")</f>
        <v>0</v>
      </c>
      <c r="K72" s="109">
        <f>SUMIF('Car 8 - 00523'!$D$7:$D$300,$B72,'Car 8 - 00523'!$E$7:$E$300)+COUNTIFS('Car 8 - 00523'!$D$7:$D$300,$B72,'Car 8 - 00523'!$E$7:$E$300,"")</f>
        <v>0</v>
      </c>
      <c r="L72" s="109">
        <f>SUMIF('Car 9 - 00097'!$D$7:$D$300,$B72,'Car 9 - 00097'!$E$7:$E$300)+COUNTIFS('Car 9 - 00097'!$D$7:$D$300,$B72,'Car 9 - 00097'!$E$7:$E$300,"")</f>
        <v>0</v>
      </c>
      <c r="M72" s="109">
        <f>SUMIF('Car 10 - 01352'!$D$7:$D$300,$B72,'Car 10 - 01352'!$E$7:$E$300)+COUNTIFS('Car 10 - 01352'!$D$7:$D$300,$B72,'Car 10 - 01352'!$E$7:$E$300,"")</f>
        <v>0</v>
      </c>
      <c r="N72" s="109">
        <f>SUM(D72:M72)</f>
        <v>1</v>
      </c>
    </row>
    <row r="73">
      <c r="A73" s="108" t="inlineStr">
        <is>
          <t>LATCH FRONT DOOR-REAR GLASS-LH</t>
        </is>
      </c>
      <c r="B73" s="109" t="inlineStr">
        <is>
          <t>BF243102</t>
        </is>
      </c>
      <c r="C73" s="108" t="inlineStr">
        <is>
          <t>قفل زجاج باب أمامي شمال</t>
        </is>
      </c>
      <c r="D73" s="109">
        <f>SUMIF('Car 1 - 00569'!$D$7:$D$300,$B73,'Car 1 - 00569'!$E$7:$E$300)+COUNTIFS('Car 1 - 00569'!$D$7:$D$300,$B73,'Car 1 - 00569'!$E$7:$E$300,"")</f>
        <v>0</v>
      </c>
      <c r="E73" s="109">
        <f>SUMIF('Car 2 - 01124'!$D$7:$D$300,$B73,'Car 2 - 01124'!$E$7:$E$300)+COUNTIFS('Car 2 - 01124'!$D$7:$D$300,$B73,'Car 2 - 01124'!$E$7:$E$300,"")</f>
        <v>0</v>
      </c>
      <c r="F73" s="109">
        <f>SUMIF('Car 3 - 00133'!$D$7:$D$300,$B73,'Car 3 - 00133'!$E$7:$E$300)+COUNTIFS('Car 3 - 00133'!$D$7:$D$300,$B73,'Car 3 - 00133'!$E$7:$E$300,"")</f>
        <v>1</v>
      </c>
      <c r="G73" s="109">
        <f>SUMIF('Car 4 - 00679'!$D$7:$D$300,$B73,'Car 4 - 00679'!$E$7:$E$300)+COUNTIFS('Car 4 - 00679'!$D$7:$D$300,$B73,'Car 4 - 00679'!$E$7:$E$300,"")</f>
        <v>0</v>
      </c>
      <c r="H73" s="109">
        <f>SUMIF('Car 5 - 00557'!$D$7:$D$300,$B73,'Car 5 - 00557'!$E$7:$E$300)+COUNTIFS('Car 5 - 00557'!$D$7:$D$300,$B73,'Car 5 - 00557'!$E$7:$E$300,"")</f>
        <v>1</v>
      </c>
      <c r="I73" s="109">
        <f>SUMIF('Car 6 - 00663'!$D$7:$D$300,$B73,'Car 6 - 00663'!$E$7:$E$300)+COUNTIFS('Car 6 - 00663'!$D$7:$D$300,$B73,'Car 6 - 00663'!$E$7:$E$300,"")</f>
        <v>0</v>
      </c>
      <c r="J73" s="109">
        <f>SUMIF('Car 7 - 00680'!$D$7:$D$300,$B73,'Car 7 - 00680'!$E$7:$E$300)+COUNTIFS('Car 7 - 00680'!$D$7:$D$300,$B73,'Car 7 - 00680'!$E$7:$E$300,"")</f>
        <v>1</v>
      </c>
      <c r="K73" s="109">
        <f>SUMIF('Car 8 - 00523'!$D$7:$D$300,$B73,'Car 8 - 00523'!$E$7:$E$300)+COUNTIFS('Car 8 - 00523'!$D$7:$D$300,$B73,'Car 8 - 00523'!$E$7:$E$300,"")</f>
        <v>1</v>
      </c>
      <c r="L73" s="109">
        <f>SUMIF('Car 9 - 00097'!$D$7:$D$300,$B73,'Car 9 - 00097'!$E$7:$E$300)+COUNTIFS('Car 9 - 00097'!$D$7:$D$300,$B73,'Car 9 - 00097'!$E$7:$E$300,"")</f>
        <v>1</v>
      </c>
      <c r="M73" s="109">
        <f>SUMIF('Car 10 - 01352'!$D$7:$D$300,$B73,'Car 10 - 01352'!$E$7:$E$300)+COUNTIFS('Car 10 - 01352'!$D$7:$D$300,$B73,'Car 10 - 01352'!$E$7:$E$300,"")</f>
        <v>0</v>
      </c>
      <c r="N73" s="109">
        <f>SUM(D73:M73)</f>
        <v>5</v>
      </c>
    </row>
    <row r="74" ht="33" customHeight="1" s="29">
      <c r="A74" s="108" t="inlineStr">
        <is>
          <t>LATCH FRONT DOOR-REAR GLASS-RH</t>
        </is>
      </c>
      <c r="B74" s="109" t="inlineStr">
        <is>
          <t>BF243103</t>
        </is>
      </c>
      <c r="C74" s="108" t="inlineStr">
        <is>
          <t>ضمن: زجاج باب أمامي شمال + فريم كامل + جوانات باب + لوك + فبرة زجاج</t>
        </is>
      </c>
      <c r="D74" s="109">
        <f>SUMIF('Car 1 - 00569'!$D$7:$D$300,$B74,'Car 1 - 00569'!$E$7:$E$300)+COUNTIFS('Car 1 - 00569'!$D$7:$D$300,$B74,'Car 1 - 00569'!$E$7:$E$300,"")</f>
        <v>0</v>
      </c>
      <c r="E74" s="109">
        <f>SUMIF('Car 2 - 01124'!$D$7:$D$300,$B74,'Car 2 - 01124'!$E$7:$E$300)+COUNTIFS('Car 2 - 01124'!$D$7:$D$300,$B74,'Car 2 - 01124'!$E$7:$E$300,"")</f>
        <v>0</v>
      </c>
      <c r="F74" s="109">
        <f>SUMIF('Car 3 - 00133'!$D$7:$D$300,$B74,'Car 3 - 00133'!$E$7:$E$300)+COUNTIFS('Car 3 - 00133'!$D$7:$D$300,$B74,'Car 3 - 00133'!$E$7:$E$300,"")</f>
        <v>1</v>
      </c>
      <c r="G74" s="109">
        <f>SUMIF('Car 4 - 00679'!$D$7:$D$300,$B74,'Car 4 - 00679'!$E$7:$E$300)+COUNTIFS('Car 4 - 00679'!$D$7:$D$300,$B74,'Car 4 - 00679'!$E$7:$E$300,"")</f>
        <v>0</v>
      </c>
      <c r="H74" s="109">
        <f>SUMIF('Car 5 - 00557'!$D$7:$D$300,$B74,'Car 5 - 00557'!$E$7:$E$300)+COUNTIFS('Car 5 - 00557'!$D$7:$D$300,$B74,'Car 5 - 00557'!$E$7:$E$300,"")</f>
        <v>1</v>
      </c>
      <c r="I74" s="109">
        <f>SUMIF('Car 6 - 00663'!$D$7:$D$300,$B74,'Car 6 - 00663'!$E$7:$E$300)+COUNTIFS('Car 6 - 00663'!$D$7:$D$300,$B74,'Car 6 - 00663'!$E$7:$E$300,"")</f>
        <v>0</v>
      </c>
      <c r="J74" s="109">
        <f>SUMIF('Car 7 - 00680'!$D$7:$D$300,$B74,'Car 7 - 00680'!$E$7:$E$300)+COUNTIFS('Car 7 - 00680'!$D$7:$D$300,$B74,'Car 7 - 00680'!$E$7:$E$300,"")</f>
        <v>2</v>
      </c>
      <c r="K74" s="109">
        <f>SUMIF('Car 8 - 00523'!$D$7:$D$300,$B74,'Car 8 - 00523'!$E$7:$E$300)+COUNTIFS('Car 8 - 00523'!$D$7:$D$300,$B74,'Car 8 - 00523'!$E$7:$E$300,"")</f>
        <v>0</v>
      </c>
      <c r="L74" s="109">
        <f>SUMIF('Car 9 - 00097'!$D$7:$D$300,$B74,'Car 9 - 00097'!$E$7:$E$300)+COUNTIFS('Car 9 - 00097'!$D$7:$D$300,$B74,'Car 9 - 00097'!$E$7:$E$300,"")</f>
        <v>1</v>
      </c>
      <c r="M74" s="109">
        <f>SUMIF('Car 10 - 01352'!$D$7:$D$300,$B74,'Car 10 - 01352'!$E$7:$E$300)+COUNTIFS('Car 10 - 01352'!$D$7:$D$300,$B74,'Car 10 - 01352'!$E$7:$E$300,"")</f>
        <v>0</v>
      </c>
      <c r="N74" s="109">
        <f>SUM(D74:M74)</f>
        <v>5</v>
      </c>
    </row>
    <row r="75">
      <c r="A75" s="108" t="inlineStr">
        <is>
          <t>LATCH GLASS DOOR REAR LH</t>
        </is>
      </c>
      <c r="B75" s="109" t="inlineStr">
        <is>
          <t>BF243104</t>
        </is>
      </c>
      <c r="C75" s="108" t="inlineStr">
        <is>
          <t>ضمن: قفل زجاج باب أمامي شمال</t>
        </is>
      </c>
      <c r="D75" s="109">
        <f>SUMIF('Car 1 - 00569'!$D$7:$D$300,$B75,'Car 1 - 00569'!$E$7:$E$300)+COUNTIFS('Car 1 - 00569'!$D$7:$D$300,$B75,'Car 1 - 00569'!$E$7:$E$300,"")</f>
        <v>0</v>
      </c>
      <c r="E75" s="109">
        <f>SUMIF('Car 2 - 01124'!$D$7:$D$300,$B75,'Car 2 - 01124'!$E$7:$E$300)+COUNTIFS('Car 2 - 01124'!$D$7:$D$300,$B75,'Car 2 - 01124'!$E$7:$E$300,"")</f>
        <v>0</v>
      </c>
      <c r="F75" s="109">
        <f>SUMIF('Car 3 - 00133'!$D$7:$D$300,$B75,'Car 3 - 00133'!$E$7:$E$300)+COUNTIFS('Car 3 - 00133'!$D$7:$D$300,$B75,'Car 3 - 00133'!$E$7:$E$300,"")</f>
        <v>0</v>
      </c>
      <c r="G75" s="109">
        <f>SUMIF('Car 4 - 00679'!$D$7:$D$300,$B75,'Car 4 - 00679'!$E$7:$E$300)+COUNTIFS('Car 4 - 00679'!$D$7:$D$300,$B75,'Car 4 - 00679'!$E$7:$E$300,"")</f>
        <v>0</v>
      </c>
      <c r="H75" s="109">
        <f>SUMIF('Car 5 - 00557'!$D$7:$D$300,$B75,'Car 5 - 00557'!$E$7:$E$300)+COUNTIFS('Car 5 - 00557'!$D$7:$D$300,$B75,'Car 5 - 00557'!$E$7:$E$300,"")</f>
        <v>0</v>
      </c>
      <c r="I75" s="109">
        <f>SUMIF('Car 6 - 00663'!$D$7:$D$300,$B75,'Car 6 - 00663'!$E$7:$E$300)+COUNTIFS('Car 6 - 00663'!$D$7:$D$300,$B75,'Car 6 - 00663'!$E$7:$E$300,"")</f>
        <v>0</v>
      </c>
      <c r="J75" s="109">
        <f>SUMIF('Car 7 - 00680'!$D$7:$D$300,$B75,'Car 7 - 00680'!$E$7:$E$300)+COUNTIFS('Car 7 - 00680'!$D$7:$D$300,$B75,'Car 7 - 00680'!$E$7:$E$300,"")</f>
        <v>0</v>
      </c>
      <c r="K75" s="109">
        <f>SUMIF('Car 8 - 00523'!$D$7:$D$300,$B75,'Car 8 - 00523'!$E$7:$E$300)+COUNTIFS('Car 8 - 00523'!$D$7:$D$300,$B75,'Car 8 - 00523'!$E$7:$E$300,"")</f>
        <v>1</v>
      </c>
      <c r="L75" s="109">
        <f>SUMIF('Car 9 - 00097'!$D$7:$D$300,$B75,'Car 9 - 00097'!$E$7:$E$300)+COUNTIFS('Car 9 - 00097'!$D$7:$D$300,$B75,'Car 9 - 00097'!$E$7:$E$300,"")</f>
        <v>0</v>
      </c>
      <c r="M75" s="109">
        <f>SUMIF('Car 10 - 01352'!$D$7:$D$300,$B75,'Car 10 - 01352'!$E$7:$E$300)+COUNTIFS('Car 10 - 01352'!$D$7:$D$300,$B75,'Car 10 - 01352'!$E$7:$E$300,"")</f>
        <v>0</v>
      </c>
      <c r="N75" s="109">
        <f>SUM(D75:M75)</f>
        <v>1</v>
      </c>
    </row>
    <row r="76">
      <c r="A76" s="108" t="inlineStr">
        <is>
          <t>LATCH GLASS DOOR REAR RH</t>
        </is>
      </c>
      <c r="B76" s="109" t="inlineStr">
        <is>
          <t>BF243105</t>
        </is>
      </c>
      <c r="C76" s="108" t="inlineStr">
        <is>
          <t>لوك زجاج باب خلفي يمين خلفي</t>
        </is>
      </c>
      <c r="D76" s="109">
        <f>SUMIF('Car 1 - 00569'!$D$7:$D$300,$B76,'Car 1 - 00569'!$E$7:$E$300)+COUNTIFS('Car 1 - 00569'!$D$7:$D$300,$B76,'Car 1 - 00569'!$E$7:$E$300,"")</f>
        <v>0</v>
      </c>
      <c r="E76" s="109">
        <f>SUMIF('Car 2 - 01124'!$D$7:$D$300,$B76,'Car 2 - 01124'!$E$7:$E$300)+COUNTIFS('Car 2 - 01124'!$D$7:$D$300,$B76,'Car 2 - 01124'!$E$7:$E$300,"")</f>
        <v>0</v>
      </c>
      <c r="F76" s="109">
        <f>SUMIF('Car 3 - 00133'!$D$7:$D$300,$B76,'Car 3 - 00133'!$E$7:$E$300)+COUNTIFS('Car 3 - 00133'!$D$7:$D$300,$B76,'Car 3 - 00133'!$E$7:$E$300,"")</f>
        <v>0</v>
      </c>
      <c r="G76" s="109">
        <f>SUMIF('Car 4 - 00679'!$D$7:$D$300,$B76,'Car 4 - 00679'!$E$7:$E$300)+COUNTIFS('Car 4 - 00679'!$D$7:$D$300,$B76,'Car 4 - 00679'!$E$7:$E$300,"")</f>
        <v>0</v>
      </c>
      <c r="H76" s="109">
        <f>SUMIF('Car 5 - 00557'!$D$7:$D$300,$B76,'Car 5 - 00557'!$E$7:$E$300)+COUNTIFS('Car 5 - 00557'!$D$7:$D$300,$B76,'Car 5 - 00557'!$E$7:$E$300,"")</f>
        <v>0</v>
      </c>
      <c r="I76" s="109">
        <f>SUMIF('Car 6 - 00663'!$D$7:$D$300,$B76,'Car 6 - 00663'!$E$7:$E$300)+COUNTIFS('Car 6 - 00663'!$D$7:$D$300,$B76,'Car 6 - 00663'!$E$7:$E$300,"")</f>
        <v>0</v>
      </c>
      <c r="J76" s="109">
        <f>SUMIF('Car 7 - 00680'!$D$7:$D$300,$B76,'Car 7 - 00680'!$E$7:$E$300)+COUNTIFS('Car 7 - 00680'!$D$7:$D$300,$B76,'Car 7 - 00680'!$E$7:$E$300,"")</f>
        <v>1</v>
      </c>
      <c r="K76" s="109">
        <f>SUMIF('Car 8 - 00523'!$D$7:$D$300,$B76,'Car 8 - 00523'!$E$7:$E$300)+COUNTIFS('Car 8 - 00523'!$D$7:$D$300,$B76,'Car 8 - 00523'!$E$7:$E$300,"")</f>
        <v>0</v>
      </c>
      <c r="L76" s="109">
        <f>SUMIF('Car 9 - 00097'!$D$7:$D$300,$B76,'Car 9 - 00097'!$E$7:$E$300)+COUNTIFS('Car 9 - 00097'!$D$7:$D$300,$B76,'Car 9 - 00097'!$E$7:$E$300,"")</f>
        <v>0</v>
      </c>
      <c r="M76" s="109">
        <f>SUMIF('Car 10 - 01352'!$D$7:$D$300,$B76,'Car 10 - 01352'!$E$7:$E$300)+COUNTIFS('Car 10 - 01352'!$D$7:$D$300,$B76,'Car 10 - 01352'!$E$7:$E$300,"")</f>
        <v>0</v>
      </c>
      <c r="N76" s="109">
        <f>SUM(D76:M76)</f>
        <v>1</v>
      </c>
    </row>
    <row r="77">
      <c r="A77" s="108" t="inlineStr">
        <is>
          <t>LATCH REAR DOOR-REAR GLASS-LH</t>
        </is>
      </c>
      <c r="B77" s="109" t="inlineStr">
        <is>
          <t>BF243106</t>
        </is>
      </c>
      <c r="C77" s="108" t="inlineStr">
        <is>
          <t>ضمن: قفل زجاج باب أمامي شمال</t>
        </is>
      </c>
      <c r="D77" s="109">
        <f>SUMIF('Car 1 - 00569'!$D$7:$D$300,$B77,'Car 1 - 00569'!$E$7:$E$300)+COUNTIFS('Car 1 - 00569'!$D$7:$D$300,$B77,'Car 1 - 00569'!$E$7:$E$300,"")</f>
        <v>0</v>
      </c>
      <c r="E77" s="109">
        <f>SUMIF('Car 2 - 01124'!$D$7:$D$300,$B77,'Car 2 - 01124'!$E$7:$E$300)+COUNTIFS('Car 2 - 01124'!$D$7:$D$300,$B77,'Car 2 - 01124'!$E$7:$E$300,"")</f>
        <v>0</v>
      </c>
      <c r="F77" s="109">
        <f>SUMIF('Car 3 - 00133'!$D$7:$D$300,$B77,'Car 3 - 00133'!$E$7:$E$300)+COUNTIFS('Car 3 - 00133'!$D$7:$D$300,$B77,'Car 3 - 00133'!$E$7:$E$300,"")</f>
        <v>0</v>
      </c>
      <c r="G77" s="109">
        <f>SUMIF('Car 4 - 00679'!$D$7:$D$300,$B77,'Car 4 - 00679'!$E$7:$E$300)+COUNTIFS('Car 4 - 00679'!$D$7:$D$300,$B77,'Car 4 - 00679'!$E$7:$E$300,"")</f>
        <v>0</v>
      </c>
      <c r="H77" s="109">
        <f>SUMIF('Car 5 - 00557'!$D$7:$D$300,$B77,'Car 5 - 00557'!$E$7:$E$300)+COUNTIFS('Car 5 - 00557'!$D$7:$D$300,$B77,'Car 5 - 00557'!$E$7:$E$300,"")</f>
        <v>0</v>
      </c>
      <c r="I77" s="109">
        <f>SUMIF('Car 6 - 00663'!$D$7:$D$300,$B77,'Car 6 - 00663'!$E$7:$E$300)+COUNTIFS('Car 6 - 00663'!$D$7:$D$300,$B77,'Car 6 - 00663'!$E$7:$E$300,"")</f>
        <v>0</v>
      </c>
      <c r="J77" s="109">
        <f>SUMIF('Car 7 - 00680'!$D$7:$D$300,$B77,'Car 7 - 00680'!$E$7:$E$300)+COUNTIFS('Car 7 - 00680'!$D$7:$D$300,$B77,'Car 7 - 00680'!$E$7:$E$300,"")</f>
        <v>0</v>
      </c>
      <c r="K77" s="109">
        <f>SUMIF('Car 8 - 00523'!$D$7:$D$300,$B77,'Car 8 - 00523'!$E$7:$E$300)+COUNTIFS('Car 8 - 00523'!$D$7:$D$300,$B77,'Car 8 - 00523'!$E$7:$E$300,"")</f>
        <v>1</v>
      </c>
      <c r="L77" s="109">
        <f>SUMIF('Car 9 - 00097'!$D$7:$D$300,$B77,'Car 9 - 00097'!$E$7:$E$300)+COUNTIFS('Car 9 - 00097'!$D$7:$D$300,$B77,'Car 9 - 00097'!$E$7:$E$300,"")</f>
        <v>0</v>
      </c>
      <c r="M77" s="109">
        <f>SUMIF('Car 10 - 01352'!$D$7:$D$300,$B77,'Car 10 - 01352'!$E$7:$E$300)+COUNTIFS('Car 10 - 01352'!$D$7:$D$300,$B77,'Car 10 - 01352'!$E$7:$E$300,"")</f>
        <v>0</v>
      </c>
      <c r="N77" s="109">
        <f>SUM(D77:M77)</f>
        <v>1</v>
      </c>
    </row>
    <row r="78">
      <c r="A78" s="108" t="inlineStr">
        <is>
          <t>LATCH REAR DOOR-REAR GLASS-RH</t>
        </is>
      </c>
      <c r="B78" s="109" t="inlineStr">
        <is>
          <t>BF243107</t>
        </is>
      </c>
      <c r="C78" s="108" t="inlineStr">
        <is>
          <t>ضمن: لوك زجاج باب خلفي يمين خلفي</t>
        </is>
      </c>
      <c r="D78" s="109">
        <f>SUMIF('Car 1 - 00569'!$D$7:$D$300,$B78,'Car 1 - 00569'!$E$7:$E$300)+COUNTIFS('Car 1 - 00569'!$D$7:$D$300,$B78,'Car 1 - 00569'!$E$7:$E$300,"")</f>
        <v>0</v>
      </c>
      <c r="E78" s="109">
        <f>SUMIF('Car 2 - 01124'!$D$7:$D$300,$B78,'Car 2 - 01124'!$E$7:$E$300)+COUNTIFS('Car 2 - 01124'!$D$7:$D$300,$B78,'Car 2 - 01124'!$E$7:$E$300,"")</f>
        <v>0</v>
      </c>
      <c r="F78" s="109">
        <f>SUMIF('Car 3 - 00133'!$D$7:$D$300,$B78,'Car 3 - 00133'!$E$7:$E$300)+COUNTIFS('Car 3 - 00133'!$D$7:$D$300,$B78,'Car 3 - 00133'!$E$7:$E$300,"")</f>
        <v>0</v>
      </c>
      <c r="G78" s="109">
        <f>SUMIF('Car 4 - 00679'!$D$7:$D$300,$B78,'Car 4 - 00679'!$E$7:$E$300)+COUNTIFS('Car 4 - 00679'!$D$7:$D$300,$B78,'Car 4 - 00679'!$E$7:$E$300,"")</f>
        <v>0</v>
      </c>
      <c r="H78" s="109">
        <f>SUMIF('Car 5 - 00557'!$D$7:$D$300,$B78,'Car 5 - 00557'!$E$7:$E$300)+COUNTIFS('Car 5 - 00557'!$D$7:$D$300,$B78,'Car 5 - 00557'!$E$7:$E$300,"")</f>
        <v>0</v>
      </c>
      <c r="I78" s="109">
        <f>SUMIF('Car 6 - 00663'!$D$7:$D$300,$B78,'Car 6 - 00663'!$E$7:$E$300)+COUNTIFS('Car 6 - 00663'!$D$7:$D$300,$B78,'Car 6 - 00663'!$E$7:$E$300,"")</f>
        <v>0</v>
      </c>
      <c r="J78" s="109">
        <f>SUMIF('Car 7 - 00680'!$D$7:$D$300,$B78,'Car 7 - 00680'!$E$7:$E$300)+COUNTIFS('Car 7 - 00680'!$D$7:$D$300,$B78,'Car 7 - 00680'!$E$7:$E$300,"")</f>
        <v>1</v>
      </c>
      <c r="K78" s="109">
        <f>SUMIF('Car 8 - 00523'!$D$7:$D$300,$B78,'Car 8 - 00523'!$E$7:$E$300)+COUNTIFS('Car 8 - 00523'!$D$7:$D$300,$B78,'Car 8 - 00523'!$E$7:$E$300,"")</f>
        <v>0</v>
      </c>
      <c r="L78" s="109">
        <f>SUMIF('Car 9 - 00097'!$D$7:$D$300,$B78,'Car 9 - 00097'!$E$7:$E$300)+COUNTIFS('Car 9 - 00097'!$D$7:$D$300,$B78,'Car 9 - 00097'!$E$7:$E$300,"")</f>
        <v>0</v>
      </c>
      <c r="M78" s="109">
        <f>SUMIF('Car 10 - 01352'!$D$7:$D$300,$B78,'Car 10 - 01352'!$E$7:$E$300)+COUNTIFS('Car 10 - 01352'!$D$7:$D$300,$B78,'Car 10 - 01352'!$E$7:$E$300,"")</f>
        <v>0</v>
      </c>
      <c r="N78" s="109">
        <f>SUM(D78:M78)</f>
        <v>1</v>
      </c>
    </row>
    <row r="79">
      <c r="A79" s="108" t="inlineStr">
        <is>
          <t>BEADING CHANNEL L = 300</t>
        </is>
      </c>
      <c r="B79" s="109" t="inlineStr">
        <is>
          <t>BF243113</t>
        </is>
      </c>
      <c r="C79" s="108" t="inlineStr">
        <is>
          <t>ضمن: جوان جانب خارجي</t>
        </is>
      </c>
      <c r="D79" s="109">
        <f>SUMIF('Car 1 - 00569'!$D$7:$D$300,$B79,'Car 1 - 00569'!$E$7:$E$300)+COUNTIFS('Car 1 - 00569'!$D$7:$D$300,$B79,'Car 1 - 00569'!$E$7:$E$300,"")</f>
        <v>0</v>
      </c>
      <c r="E79" s="109">
        <f>SUMIF('Car 2 - 01124'!$D$7:$D$300,$B79,'Car 2 - 01124'!$E$7:$E$300)+COUNTIFS('Car 2 - 01124'!$D$7:$D$300,$B79,'Car 2 - 01124'!$E$7:$E$300,"")</f>
        <v>1</v>
      </c>
      <c r="F79" s="109">
        <f>SUMIF('Car 3 - 00133'!$D$7:$D$300,$B79,'Car 3 - 00133'!$E$7:$E$300)+COUNTIFS('Car 3 - 00133'!$D$7:$D$300,$B79,'Car 3 - 00133'!$E$7:$E$300,"")</f>
        <v>0</v>
      </c>
      <c r="G79" s="109">
        <f>SUMIF('Car 4 - 00679'!$D$7:$D$300,$B79,'Car 4 - 00679'!$E$7:$E$300)+COUNTIFS('Car 4 - 00679'!$D$7:$D$300,$B79,'Car 4 - 00679'!$E$7:$E$300,"")</f>
        <v>0</v>
      </c>
      <c r="H79" s="109">
        <f>SUMIF('Car 5 - 00557'!$D$7:$D$300,$B79,'Car 5 - 00557'!$E$7:$E$300)+COUNTIFS('Car 5 - 00557'!$D$7:$D$300,$B79,'Car 5 - 00557'!$E$7:$E$300,"")</f>
        <v>0</v>
      </c>
      <c r="I79" s="109">
        <f>SUMIF('Car 6 - 00663'!$D$7:$D$300,$B79,'Car 6 - 00663'!$E$7:$E$300)+COUNTIFS('Car 6 - 00663'!$D$7:$D$300,$B79,'Car 6 - 00663'!$E$7:$E$300,"")</f>
        <v>0</v>
      </c>
      <c r="J79" s="109">
        <f>SUMIF('Car 7 - 00680'!$D$7:$D$300,$B79,'Car 7 - 00680'!$E$7:$E$300)+COUNTIFS('Car 7 - 00680'!$D$7:$D$300,$B79,'Car 7 - 00680'!$E$7:$E$300,"")</f>
        <v>0</v>
      </c>
      <c r="K79" s="109">
        <f>SUMIF('Car 8 - 00523'!$D$7:$D$300,$B79,'Car 8 - 00523'!$E$7:$E$300)+COUNTIFS('Car 8 - 00523'!$D$7:$D$300,$B79,'Car 8 - 00523'!$E$7:$E$300,"")</f>
        <v>0</v>
      </c>
      <c r="L79" s="109">
        <f>SUMIF('Car 9 - 00097'!$D$7:$D$300,$B79,'Car 9 - 00097'!$E$7:$E$300)+COUNTIFS('Car 9 - 00097'!$D$7:$D$300,$B79,'Car 9 - 00097'!$E$7:$E$300,"")</f>
        <v>0</v>
      </c>
      <c r="M79" s="109">
        <f>SUMIF('Car 10 - 01352'!$D$7:$D$300,$B79,'Car 10 - 01352'!$E$7:$E$300)+COUNTIFS('Car 10 - 01352'!$D$7:$D$300,$B79,'Car 10 - 01352'!$E$7:$E$300,"")</f>
        <v>0</v>
      </c>
      <c r="N79" s="109">
        <f>SUM(D79:M79)</f>
        <v>1</v>
      </c>
    </row>
    <row r="80">
      <c r="A80" s="108" t="inlineStr">
        <is>
          <t>STRING ENGINE ACC COVER STOPPER</t>
        </is>
      </c>
      <c r="B80" s="109" t="inlineStr">
        <is>
          <t>BF244009</t>
        </is>
      </c>
      <c r="C80" s="108" t="inlineStr">
        <is>
          <t>جبل باب ماتور؟</t>
        </is>
      </c>
      <c r="D80" s="109">
        <f>SUMIF('Car 1 - 00569'!$D$7:$D$300,$B80,'Car 1 - 00569'!$E$7:$E$300)+COUNTIFS('Car 1 - 00569'!$D$7:$D$300,$B80,'Car 1 - 00569'!$E$7:$E$300,"")</f>
        <v>2</v>
      </c>
      <c r="E80" s="109">
        <f>SUMIF('Car 2 - 01124'!$D$7:$D$300,$B80,'Car 2 - 01124'!$E$7:$E$300)+COUNTIFS('Car 2 - 01124'!$D$7:$D$300,$B80,'Car 2 - 01124'!$E$7:$E$300,"")</f>
        <v>0</v>
      </c>
      <c r="F80" s="109">
        <f>SUMIF('Car 3 - 00133'!$D$7:$D$300,$B80,'Car 3 - 00133'!$E$7:$E$300)+COUNTIFS('Car 3 - 00133'!$D$7:$D$300,$B80,'Car 3 - 00133'!$E$7:$E$300,"")</f>
        <v>2</v>
      </c>
      <c r="G80" s="109">
        <f>SUMIF('Car 4 - 00679'!$D$7:$D$300,$B80,'Car 4 - 00679'!$E$7:$E$300)+COUNTIFS('Car 4 - 00679'!$D$7:$D$300,$B80,'Car 4 - 00679'!$E$7:$E$300,"")</f>
        <v>0</v>
      </c>
      <c r="H80" s="109">
        <f>SUMIF('Car 5 - 00557'!$D$7:$D$300,$B80,'Car 5 - 00557'!$E$7:$E$300)+COUNTIFS('Car 5 - 00557'!$D$7:$D$300,$B80,'Car 5 - 00557'!$E$7:$E$300,"")</f>
        <v>2</v>
      </c>
      <c r="I80" s="109">
        <f>SUMIF('Car 6 - 00663'!$D$7:$D$300,$B80,'Car 6 - 00663'!$E$7:$E$300)+COUNTIFS('Car 6 - 00663'!$D$7:$D$300,$B80,'Car 6 - 00663'!$E$7:$E$300,"")</f>
        <v>0</v>
      </c>
      <c r="J80" s="109">
        <f>SUMIF('Car 7 - 00680'!$D$7:$D$300,$B80,'Car 7 - 00680'!$E$7:$E$300)+COUNTIFS('Car 7 - 00680'!$D$7:$D$300,$B80,'Car 7 - 00680'!$E$7:$E$300,"")</f>
        <v>0</v>
      </c>
      <c r="K80" s="109">
        <f>SUMIF('Car 8 - 00523'!$D$7:$D$300,$B80,'Car 8 - 00523'!$E$7:$E$300)+COUNTIFS('Car 8 - 00523'!$D$7:$D$300,$B80,'Car 8 - 00523'!$E$7:$E$300,"")</f>
        <v>0</v>
      </c>
      <c r="L80" s="109">
        <f>SUMIF('Car 9 - 00097'!$D$7:$D$300,$B80,'Car 9 - 00097'!$E$7:$E$300)+COUNTIFS('Car 9 - 00097'!$D$7:$D$300,$B80,'Car 9 - 00097'!$E$7:$E$300,"")</f>
        <v>2</v>
      </c>
      <c r="M80" s="109">
        <f>SUMIF('Car 10 - 01352'!$D$7:$D$300,$B80,'Car 10 - 01352'!$E$7:$E$300)+COUNTIFS('Car 10 - 01352'!$D$7:$D$300,$B80,'Car 10 - 01352'!$E$7:$E$300,"")</f>
        <v>0</v>
      </c>
      <c r="N80" s="109">
        <f>SUM(D80:M80)</f>
        <v>8</v>
      </c>
    </row>
    <row r="81">
      <c r="A81" s="108" t="inlineStr">
        <is>
          <t>HINGE ASSEMBLY DOOR FRONT LH</t>
        </is>
      </c>
      <c r="B81" s="109" t="inlineStr">
        <is>
          <t>BF247026</t>
        </is>
      </c>
      <c r="C81" s="108" t="inlineStr">
        <is>
          <t>مفصلة باب أمامي يمين</t>
        </is>
      </c>
      <c r="D81" s="109">
        <f>SUMIF('Car 1 - 00569'!$D$7:$D$300,$B81,'Car 1 - 00569'!$E$7:$E$300)+COUNTIFS('Car 1 - 00569'!$D$7:$D$300,$B81,'Car 1 - 00569'!$E$7:$E$300,"")</f>
        <v>0</v>
      </c>
      <c r="E81" s="109">
        <f>SUMIF('Car 2 - 01124'!$D$7:$D$300,$B81,'Car 2 - 01124'!$E$7:$E$300)+COUNTIFS('Car 2 - 01124'!$D$7:$D$300,$B81,'Car 2 - 01124'!$E$7:$E$300,"")</f>
        <v>0</v>
      </c>
      <c r="F81" s="109">
        <f>SUMIF('Car 3 - 00133'!$D$7:$D$300,$B81,'Car 3 - 00133'!$E$7:$E$300)+COUNTIFS('Car 3 - 00133'!$D$7:$D$300,$B81,'Car 3 - 00133'!$E$7:$E$300,"")</f>
        <v>0</v>
      </c>
      <c r="G81" s="109">
        <f>SUMIF('Car 4 - 00679'!$D$7:$D$300,$B81,'Car 4 - 00679'!$E$7:$E$300)+COUNTIFS('Car 4 - 00679'!$D$7:$D$300,$B81,'Car 4 - 00679'!$E$7:$E$300,"")</f>
        <v>0</v>
      </c>
      <c r="H81" s="109">
        <f>SUMIF('Car 5 - 00557'!$D$7:$D$300,$B81,'Car 5 - 00557'!$E$7:$E$300)+COUNTIFS('Car 5 - 00557'!$D$7:$D$300,$B81,'Car 5 - 00557'!$E$7:$E$300,"")</f>
        <v>0</v>
      </c>
      <c r="I81" s="109">
        <f>SUMIF('Car 6 - 00663'!$D$7:$D$300,$B81,'Car 6 - 00663'!$E$7:$E$300)+COUNTIFS('Car 6 - 00663'!$D$7:$D$300,$B81,'Car 6 - 00663'!$E$7:$E$300,"")</f>
        <v>0</v>
      </c>
      <c r="J81" s="109">
        <f>SUMIF('Car 7 - 00680'!$D$7:$D$300,$B81,'Car 7 - 00680'!$E$7:$E$300)+COUNTIFS('Car 7 - 00680'!$D$7:$D$300,$B81,'Car 7 - 00680'!$E$7:$E$300,"")</f>
        <v>0</v>
      </c>
      <c r="K81" s="109">
        <f>SUMIF('Car 8 - 00523'!$D$7:$D$300,$B81,'Car 8 - 00523'!$E$7:$E$300)+COUNTIFS('Car 8 - 00523'!$D$7:$D$300,$B81,'Car 8 - 00523'!$E$7:$E$300,"")</f>
        <v>0</v>
      </c>
      <c r="L81" s="109">
        <f>SUMIF('Car 9 - 00097'!$D$7:$D$300,$B81,'Car 9 - 00097'!$E$7:$E$300)+COUNTIFS('Car 9 - 00097'!$D$7:$D$300,$B81,'Car 9 - 00097'!$E$7:$E$300,"")</f>
        <v>0</v>
      </c>
      <c r="M81" s="109">
        <f>SUMIF('Car 10 - 01352'!$D$7:$D$300,$B81,'Car 10 - 01352'!$E$7:$E$300)+COUNTIFS('Car 10 - 01352'!$D$7:$D$300,$B81,'Car 10 - 01352'!$E$7:$E$300,"")</f>
        <v>1</v>
      </c>
      <c r="N81" s="109">
        <f>SUM(D81:M81)</f>
        <v>1</v>
      </c>
    </row>
    <row r="82">
      <c r="A82" s="108" t="inlineStr">
        <is>
          <t>ASSEMBLY HINGE RR DOOR LH BTM</t>
        </is>
      </c>
      <c r="B82" s="109" t="inlineStr">
        <is>
          <t>BF247032</t>
        </is>
      </c>
      <c r="C82" s="108" t="inlineStr">
        <is>
          <t>ضمن: مفصلة باب أمامي يمين</t>
        </is>
      </c>
      <c r="D82" s="109">
        <f>SUMIF('Car 1 - 00569'!$D$7:$D$300,$B82,'Car 1 - 00569'!$E$7:$E$300)+COUNTIFS('Car 1 - 00569'!$D$7:$D$300,$B82,'Car 1 - 00569'!$E$7:$E$300,"")</f>
        <v>0</v>
      </c>
      <c r="E82" s="109">
        <f>SUMIF('Car 2 - 01124'!$D$7:$D$300,$B82,'Car 2 - 01124'!$E$7:$E$300)+COUNTIFS('Car 2 - 01124'!$D$7:$D$300,$B82,'Car 2 - 01124'!$E$7:$E$300,"")</f>
        <v>0</v>
      </c>
      <c r="F82" s="109">
        <f>SUMIF('Car 3 - 00133'!$D$7:$D$300,$B82,'Car 3 - 00133'!$E$7:$E$300)+COUNTIFS('Car 3 - 00133'!$D$7:$D$300,$B82,'Car 3 - 00133'!$E$7:$E$300,"")</f>
        <v>0</v>
      </c>
      <c r="G82" s="109">
        <f>SUMIF('Car 4 - 00679'!$D$7:$D$300,$B82,'Car 4 - 00679'!$E$7:$E$300)+COUNTIFS('Car 4 - 00679'!$D$7:$D$300,$B82,'Car 4 - 00679'!$E$7:$E$300,"")</f>
        <v>0</v>
      </c>
      <c r="H82" s="109">
        <f>SUMIF('Car 5 - 00557'!$D$7:$D$300,$B82,'Car 5 - 00557'!$E$7:$E$300)+COUNTIFS('Car 5 - 00557'!$D$7:$D$300,$B82,'Car 5 - 00557'!$E$7:$E$300,"")</f>
        <v>0</v>
      </c>
      <c r="I82" s="109">
        <f>SUMIF('Car 6 - 00663'!$D$7:$D$300,$B82,'Car 6 - 00663'!$E$7:$E$300)+COUNTIFS('Car 6 - 00663'!$D$7:$D$300,$B82,'Car 6 - 00663'!$E$7:$E$300,"")</f>
        <v>0</v>
      </c>
      <c r="J82" s="109">
        <f>SUMIF('Car 7 - 00680'!$D$7:$D$300,$B82,'Car 7 - 00680'!$E$7:$E$300)+COUNTIFS('Car 7 - 00680'!$D$7:$D$300,$B82,'Car 7 - 00680'!$E$7:$E$300,"")</f>
        <v>0</v>
      </c>
      <c r="K82" s="109">
        <f>SUMIF('Car 8 - 00523'!$D$7:$D$300,$B82,'Car 8 - 00523'!$E$7:$E$300)+COUNTIFS('Car 8 - 00523'!$D$7:$D$300,$B82,'Car 8 - 00523'!$E$7:$E$300,"")</f>
        <v>0</v>
      </c>
      <c r="L82" s="109">
        <f>SUMIF('Car 9 - 00097'!$D$7:$D$300,$B82,'Car 9 - 00097'!$E$7:$E$300)+COUNTIFS('Car 9 - 00097'!$D$7:$D$300,$B82,'Car 9 - 00097'!$E$7:$E$300,"")</f>
        <v>0</v>
      </c>
      <c r="M82" s="109">
        <f>SUMIF('Car 10 - 01352'!$D$7:$D$300,$B82,'Car 10 - 01352'!$E$7:$E$300)+COUNTIFS('Car 10 - 01352'!$D$7:$D$300,$B82,'Car 10 - 01352'!$E$7:$E$300,"")</f>
        <v>1</v>
      </c>
      <c r="N82" s="109">
        <f>SUM(D82:M82)</f>
        <v>1</v>
      </c>
    </row>
    <row r="83">
      <c r="A83" s="108" t="inlineStr">
        <is>
          <t>FAN ASSEMBLY FRONT</t>
        </is>
      </c>
      <c r="B83" s="109" t="inlineStr">
        <is>
          <t>BF253489</t>
        </is>
      </c>
      <c r="C83" s="108" t="inlineStr">
        <is>
          <t>مروحه امامي</t>
        </is>
      </c>
      <c r="D83" s="109">
        <f>SUMIF('Car 1 - 00569'!$D$7:$D$300,$B83,'Car 1 - 00569'!$E$7:$E$300)+COUNTIFS('Car 1 - 00569'!$D$7:$D$300,$B83,'Car 1 - 00569'!$E$7:$E$300,"")</f>
        <v>1</v>
      </c>
      <c r="E83" s="109">
        <f>SUMIF('Car 2 - 01124'!$D$7:$D$300,$B83,'Car 2 - 01124'!$E$7:$E$300)+COUNTIFS('Car 2 - 01124'!$D$7:$D$300,$B83,'Car 2 - 01124'!$E$7:$E$300,"")</f>
        <v>0</v>
      </c>
      <c r="F83" s="109">
        <f>SUMIF('Car 3 - 00133'!$D$7:$D$300,$B83,'Car 3 - 00133'!$E$7:$E$300)+COUNTIFS('Car 3 - 00133'!$D$7:$D$300,$B83,'Car 3 - 00133'!$E$7:$E$300,"")</f>
        <v>0</v>
      </c>
      <c r="G83" s="109">
        <f>SUMIF('Car 4 - 00679'!$D$7:$D$300,$B83,'Car 4 - 00679'!$E$7:$E$300)+COUNTIFS('Car 4 - 00679'!$D$7:$D$300,$B83,'Car 4 - 00679'!$E$7:$E$300,"")</f>
        <v>0</v>
      </c>
      <c r="H83" s="109">
        <f>SUMIF('Car 5 - 00557'!$D$7:$D$300,$B83,'Car 5 - 00557'!$E$7:$E$300)+COUNTIFS('Car 5 - 00557'!$D$7:$D$300,$B83,'Car 5 - 00557'!$E$7:$E$300,"")</f>
        <v>1</v>
      </c>
      <c r="I83" s="109">
        <f>SUMIF('Car 6 - 00663'!$D$7:$D$300,$B83,'Car 6 - 00663'!$E$7:$E$300)+COUNTIFS('Car 6 - 00663'!$D$7:$D$300,$B83,'Car 6 - 00663'!$E$7:$E$300,"")</f>
        <v>0</v>
      </c>
      <c r="J83" s="109">
        <f>SUMIF('Car 7 - 00680'!$D$7:$D$300,$B83,'Car 7 - 00680'!$E$7:$E$300)+COUNTIFS('Car 7 - 00680'!$D$7:$D$300,$B83,'Car 7 - 00680'!$E$7:$E$300,"")</f>
        <v>1</v>
      </c>
      <c r="K83" s="109">
        <f>SUMIF('Car 8 - 00523'!$D$7:$D$300,$B83,'Car 8 - 00523'!$E$7:$E$300)+COUNTIFS('Car 8 - 00523'!$D$7:$D$300,$B83,'Car 8 - 00523'!$E$7:$E$300,"")</f>
        <v>0</v>
      </c>
      <c r="L83" s="109">
        <f>SUMIF('Car 9 - 00097'!$D$7:$D$300,$B83,'Car 9 - 00097'!$E$7:$E$300)+COUNTIFS('Car 9 - 00097'!$D$7:$D$300,$B83,'Car 9 - 00097'!$E$7:$E$300,"")</f>
        <v>0</v>
      </c>
      <c r="M83" s="109">
        <f>SUMIF('Car 10 - 01352'!$D$7:$D$300,$B83,'Car 10 - 01352'!$E$7:$E$300)+COUNTIFS('Car 10 - 01352'!$D$7:$D$300,$B83,'Car 10 - 01352'!$E$7:$E$300,"")</f>
        <v>0</v>
      </c>
      <c r="N83" s="109">
        <f>SUM(D83:M83)</f>
        <v>3</v>
      </c>
    </row>
    <row r="84">
      <c r="A84" s="108" t="inlineStr">
        <is>
          <t>FAN ASSEMBLY REAR</t>
        </is>
      </c>
      <c r="B84" s="109" t="inlineStr">
        <is>
          <t>BF253490</t>
        </is>
      </c>
      <c r="C84" s="108" t="inlineStr">
        <is>
          <t>مروحه خلفي</t>
        </is>
      </c>
      <c r="D84" s="109">
        <f>SUMIF('Car 1 - 00569'!$D$7:$D$300,$B84,'Car 1 - 00569'!$E$7:$E$300)+COUNTIFS('Car 1 - 00569'!$D$7:$D$300,$B84,'Car 1 - 00569'!$E$7:$E$300,"")</f>
        <v>1</v>
      </c>
      <c r="E84" s="109">
        <f>SUMIF('Car 2 - 01124'!$D$7:$D$300,$B84,'Car 2 - 01124'!$E$7:$E$300)+COUNTIFS('Car 2 - 01124'!$D$7:$D$300,$B84,'Car 2 - 01124'!$E$7:$E$300,"")</f>
        <v>0</v>
      </c>
      <c r="F84" s="109">
        <f>SUMIF('Car 3 - 00133'!$D$7:$D$300,$B84,'Car 3 - 00133'!$E$7:$E$300)+COUNTIFS('Car 3 - 00133'!$D$7:$D$300,$B84,'Car 3 - 00133'!$E$7:$E$300,"")</f>
        <v>0</v>
      </c>
      <c r="G84" s="109">
        <f>SUMIF('Car 4 - 00679'!$D$7:$D$300,$B84,'Car 4 - 00679'!$E$7:$E$300)+COUNTIFS('Car 4 - 00679'!$D$7:$D$300,$B84,'Car 4 - 00679'!$E$7:$E$300,"")</f>
        <v>0</v>
      </c>
      <c r="H84" s="109">
        <f>SUMIF('Car 5 - 00557'!$D$7:$D$300,$B84,'Car 5 - 00557'!$E$7:$E$300)+COUNTIFS('Car 5 - 00557'!$D$7:$D$300,$B84,'Car 5 - 00557'!$E$7:$E$300,"")</f>
        <v>1</v>
      </c>
      <c r="I84" s="109">
        <f>SUMIF('Car 6 - 00663'!$D$7:$D$300,$B84,'Car 6 - 00663'!$E$7:$E$300)+COUNTIFS('Car 6 - 00663'!$D$7:$D$300,$B84,'Car 6 - 00663'!$E$7:$E$300,"")</f>
        <v>0</v>
      </c>
      <c r="J84" s="109">
        <f>SUMIF('Car 7 - 00680'!$D$7:$D$300,$B84,'Car 7 - 00680'!$E$7:$E$300)+COUNTIFS('Car 7 - 00680'!$D$7:$D$300,$B84,'Car 7 - 00680'!$E$7:$E$300,"")</f>
        <v>1</v>
      </c>
      <c r="K84" s="109">
        <f>SUMIF('Car 8 - 00523'!$D$7:$D$300,$B84,'Car 8 - 00523'!$E$7:$E$300)+COUNTIFS('Car 8 - 00523'!$D$7:$D$300,$B84,'Car 8 - 00523'!$E$7:$E$300,"")</f>
        <v>0</v>
      </c>
      <c r="L84" s="109">
        <f>SUMIF('Car 9 - 00097'!$D$7:$D$300,$B84,'Car 9 - 00097'!$E$7:$E$300)+COUNTIFS('Car 9 - 00097'!$D$7:$D$300,$B84,'Car 9 - 00097'!$E$7:$E$300,"")</f>
        <v>0</v>
      </c>
      <c r="M84" s="109">
        <f>SUMIF('Car 10 - 01352'!$D$7:$D$300,$B84,'Car 10 - 01352'!$E$7:$E$300)+COUNTIFS('Car 10 - 01352'!$D$7:$D$300,$B84,'Car 10 - 01352'!$E$7:$E$300,"")</f>
        <v>0</v>
      </c>
      <c r="N84" s="109">
        <f>SUM(D84:M84)</f>
        <v>3</v>
      </c>
    </row>
    <row r="85">
      <c r="A85" s="108" t="inlineStr">
        <is>
          <t>ASSEMBLY SIDE INDICATOR RE60</t>
        </is>
      </c>
      <c r="B85" s="109" t="inlineStr">
        <is>
          <t>BF401128</t>
        </is>
      </c>
      <c r="C85" s="108" t="inlineStr">
        <is>
          <t>غماز اشاره</t>
        </is>
      </c>
      <c r="D85" s="109">
        <f>SUMIF('Car 1 - 00569'!$D$7:$D$300,$B85,'Car 1 - 00569'!$E$7:$E$300)+COUNTIFS('Car 1 - 00569'!$D$7:$D$300,$B85,'Car 1 - 00569'!$E$7:$E$300,"")</f>
        <v>0</v>
      </c>
      <c r="E85" s="109">
        <f>SUMIF('Car 2 - 01124'!$D$7:$D$300,$B85,'Car 2 - 01124'!$E$7:$E$300)+COUNTIFS('Car 2 - 01124'!$D$7:$D$300,$B85,'Car 2 - 01124'!$E$7:$E$300,"")</f>
        <v>0</v>
      </c>
      <c r="F85" s="109">
        <f>SUMIF('Car 3 - 00133'!$D$7:$D$300,$B85,'Car 3 - 00133'!$E$7:$E$300)+COUNTIFS('Car 3 - 00133'!$D$7:$D$300,$B85,'Car 3 - 00133'!$E$7:$E$300,"")</f>
        <v>0</v>
      </c>
      <c r="G85" s="109">
        <f>SUMIF('Car 4 - 00679'!$D$7:$D$300,$B85,'Car 4 - 00679'!$E$7:$E$300)+COUNTIFS('Car 4 - 00679'!$D$7:$D$300,$B85,'Car 4 - 00679'!$E$7:$E$300,"")</f>
        <v>0</v>
      </c>
      <c r="H85" s="109">
        <f>SUMIF('Car 5 - 00557'!$D$7:$D$300,$B85,'Car 5 - 00557'!$E$7:$E$300)+COUNTIFS('Car 5 - 00557'!$D$7:$D$300,$B85,'Car 5 - 00557'!$E$7:$E$300,"")</f>
        <v>2</v>
      </c>
      <c r="I85" s="109">
        <f>SUMIF('Car 6 - 00663'!$D$7:$D$300,$B85,'Car 6 - 00663'!$E$7:$E$300)+COUNTIFS('Car 6 - 00663'!$D$7:$D$300,$B85,'Car 6 - 00663'!$E$7:$E$300,"")</f>
        <v>0</v>
      </c>
      <c r="J85" s="109">
        <f>SUMIF('Car 7 - 00680'!$D$7:$D$300,$B85,'Car 7 - 00680'!$E$7:$E$300)+COUNTIFS('Car 7 - 00680'!$D$7:$D$300,$B85,'Car 7 - 00680'!$E$7:$E$300,"")</f>
        <v>0</v>
      </c>
      <c r="K85" s="109">
        <f>SUMIF('Car 8 - 00523'!$D$7:$D$300,$B85,'Car 8 - 00523'!$E$7:$E$300)+COUNTIFS('Car 8 - 00523'!$D$7:$D$300,$B85,'Car 8 - 00523'!$E$7:$E$300,"")</f>
        <v>0</v>
      </c>
      <c r="L85" s="109">
        <f>SUMIF('Car 9 - 00097'!$D$7:$D$300,$B85,'Car 9 - 00097'!$E$7:$E$300)+COUNTIFS('Car 9 - 00097'!$D$7:$D$300,$B85,'Car 9 - 00097'!$E$7:$E$300,"")</f>
        <v>0</v>
      </c>
      <c r="M85" s="109">
        <f>SUMIF('Car 10 - 01352'!$D$7:$D$300,$B85,'Car 10 - 01352'!$E$7:$E$300)+COUNTIFS('Car 10 - 01352'!$D$7:$D$300,$B85,'Car 10 - 01352'!$E$7:$E$300,"")</f>
        <v>0</v>
      </c>
      <c r="N85" s="109">
        <f>SUM(D85:M85)</f>
        <v>2</v>
      </c>
    </row>
    <row r="86">
      <c r="A86" s="108" t="inlineStr">
        <is>
          <t>HEAD LAMP LH ASYM BEAM LHD 60 55W</t>
        </is>
      </c>
      <c r="B86" s="109" t="inlineStr">
        <is>
          <t>BF401135</t>
        </is>
      </c>
      <c r="C86" s="108" t="inlineStr">
        <is>
          <t>فانوس أمامي  شمال</t>
        </is>
      </c>
      <c r="D86" s="109">
        <f>SUMIF('Car 1 - 00569'!$D$7:$D$300,$B86,'Car 1 - 00569'!$E$7:$E$300)+COUNTIFS('Car 1 - 00569'!$D$7:$D$300,$B86,'Car 1 - 00569'!$E$7:$E$300,"")</f>
        <v>0</v>
      </c>
      <c r="E86" s="109">
        <f>SUMIF('Car 2 - 01124'!$D$7:$D$300,$B86,'Car 2 - 01124'!$E$7:$E$300)+COUNTIFS('Car 2 - 01124'!$D$7:$D$300,$B86,'Car 2 - 01124'!$E$7:$E$300,"")</f>
        <v>0</v>
      </c>
      <c r="F86" s="109">
        <f>SUMIF('Car 3 - 00133'!$D$7:$D$300,$B86,'Car 3 - 00133'!$E$7:$E$300)+COUNTIFS('Car 3 - 00133'!$D$7:$D$300,$B86,'Car 3 - 00133'!$E$7:$E$300,"")</f>
        <v>0</v>
      </c>
      <c r="G86" s="109">
        <f>SUMIF('Car 4 - 00679'!$D$7:$D$300,$B86,'Car 4 - 00679'!$E$7:$E$300)+COUNTIFS('Car 4 - 00679'!$D$7:$D$300,$B86,'Car 4 - 00679'!$E$7:$E$300,"")</f>
        <v>0</v>
      </c>
      <c r="H86" s="109">
        <f>SUMIF('Car 5 - 00557'!$D$7:$D$300,$B86,'Car 5 - 00557'!$E$7:$E$300)+COUNTIFS('Car 5 - 00557'!$D$7:$D$300,$B86,'Car 5 - 00557'!$E$7:$E$300,"")</f>
        <v>0</v>
      </c>
      <c r="I86" s="109">
        <f>SUMIF('Car 6 - 00663'!$D$7:$D$300,$B86,'Car 6 - 00663'!$E$7:$E$300)+COUNTIFS('Car 6 - 00663'!$D$7:$D$300,$B86,'Car 6 - 00663'!$E$7:$E$300,"")</f>
        <v>0</v>
      </c>
      <c r="J86" s="109">
        <f>SUMIF('Car 7 - 00680'!$D$7:$D$300,$B86,'Car 7 - 00680'!$E$7:$E$300)+COUNTIFS('Car 7 - 00680'!$D$7:$D$300,$B86,'Car 7 - 00680'!$E$7:$E$300,"")</f>
        <v>0</v>
      </c>
      <c r="K86" s="109">
        <f>SUMIF('Car 8 - 00523'!$D$7:$D$300,$B86,'Car 8 - 00523'!$E$7:$E$300)+COUNTIFS('Car 8 - 00523'!$D$7:$D$300,$B86,'Car 8 - 00523'!$E$7:$E$300,"")</f>
        <v>0</v>
      </c>
      <c r="L86" s="109">
        <f>SUMIF('Car 9 - 00097'!$D$7:$D$300,$B86,'Car 9 - 00097'!$E$7:$E$300)+COUNTIFS('Car 9 - 00097'!$D$7:$D$300,$B86,'Car 9 - 00097'!$E$7:$E$300,"")</f>
        <v>0</v>
      </c>
      <c r="M86" s="109">
        <f>SUMIF('Car 10 - 01352'!$D$7:$D$300,$B86,'Car 10 - 01352'!$E$7:$E$300)+COUNTIFS('Car 10 - 01352'!$D$7:$D$300,$B86,'Car 10 - 01352'!$E$7:$E$300,"")</f>
        <v>1</v>
      </c>
      <c r="N86" s="109">
        <f>SUM(D86:M86)</f>
        <v>1</v>
      </c>
    </row>
    <row r="87">
      <c r="A87" s="108" t="inlineStr">
        <is>
          <t>HEAD LAMP RH ASYM BEAM LHD 60 55W</t>
        </is>
      </c>
      <c r="B87" s="109" t="inlineStr">
        <is>
          <t>BF401136</t>
        </is>
      </c>
      <c r="C87" s="108" t="inlineStr">
        <is>
          <t>فانوس أمامي يمين</t>
        </is>
      </c>
      <c r="D87" s="109">
        <f>SUMIF('Car 1 - 00569'!$D$7:$D$300,$B87,'Car 1 - 00569'!$E$7:$E$300)+COUNTIFS('Car 1 - 00569'!$D$7:$D$300,$B87,'Car 1 - 00569'!$E$7:$E$300,"")</f>
        <v>0</v>
      </c>
      <c r="E87" s="109">
        <f>SUMIF('Car 2 - 01124'!$D$7:$D$300,$B87,'Car 2 - 01124'!$E$7:$E$300)+COUNTIFS('Car 2 - 01124'!$D$7:$D$300,$B87,'Car 2 - 01124'!$E$7:$E$300,"")</f>
        <v>1</v>
      </c>
      <c r="F87" s="109">
        <f>SUMIF('Car 3 - 00133'!$D$7:$D$300,$B87,'Car 3 - 00133'!$E$7:$E$300)+COUNTIFS('Car 3 - 00133'!$D$7:$D$300,$B87,'Car 3 - 00133'!$E$7:$E$300,"")</f>
        <v>0</v>
      </c>
      <c r="G87" s="109">
        <f>SUMIF('Car 4 - 00679'!$D$7:$D$300,$B87,'Car 4 - 00679'!$E$7:$E$300)+COUNTIFS('Car 4 - 00679'!$D$7:$D$300,$B87,'Car 4 - 00679'!$E$7:$E$300,"")</f>
        <v>1</v>
      </c>
      <c r="H87" s="109">
        <f>SUMIF('Car 5 - 00557'!$D$7:$D$300,$B87,'Car 5 - 00557'!$E$7:$E$300)+COUNTIFS('Car 5 - 00557'!$D$7:$D$300,$B87,'Car 5 - 00557'!$E$7:$E$300,"")</f>
        <v>1</v>
      </c>
      <c r="I87" s="109">
        <f>SUMIF('Car 6 - 00663'!$D$7:$D$300,$B87,'Car 6 - 00663'!$E$7:$E$300)+COUNTIFS('Car 6 - 00663'!$D$7:$D$300,$B87,'Car 6 - 00663'!$E$7:$E$300,"")</f>
        <v>0</v>
      </c>
      <c r="J87" s="109">
        <f>SUMIF('Car 7 - 00680'!$D$7:$D$300,$B87,'Car 7 - 00680'!$E$7:$E$300)+COUNTIFS('Car 7 - 00680'!$D$7:$D$300,$B87,'Car 7 - 00680'!$E$7:$E$300,"")</f>
        <v>0</v>
      </c>
      <c r="K87" s="109">
        <f>SUMIF('Car 8 - 00523'!$D$7:$D$300,$B87,'Car 8 - 00523'!$E$7:$E$300)+COUNTIFS('Car 8 - 00523'!$D$7:$D$300,$B87,'Car 8 - 00523'!$E$7:$E$300,"")</f>
        <v>0</v>
      </c>
      <c r="L87" s="109">
        <f>SUMIF('Car 9 - 00097'!$D$7:$D$300,$B87,'Car 9 - 00097'!$E$7:$E$300)+COUNTIFS('Car 9 - 00097'!$D$7:$D$300,$B87,'Car 9 - 00097'!$E$7:$E$300,"")</f>
        <v>1</v>
      </c>
      <c r="M87" s="109">
        <f>SUMIF('Car 10 - 01352'!$D$7:$D$300,$B87,'Car 10 - 01352'!$E$7:$E$300)+COUNTIFS('Car 10 - 01352'!$D$7:$D$300,$B87,'Car 10 - 01352'!$E$7:$E$300,"")</f>
        <v>1</v>
      </c>
      <c r="N87" s="109">
        <f>SUM(D87:M87)</f>
        <v>5</v>
      </c>
    </row>
    <row r="88">
      <c r="A88" s="108" t="inlineStr">
        <is>
          <t>ASSEMBLY 4WH TAIL LAMP LH 16W</t>
        </is>
      </c>
      <c r="B88" s="109" t="inlineStr">
        <is>
          <t>BF401139</t>
        </is>
      </c>
      <c r="C88" s="108" t="inlineStr">
        <is>
          <t>فانوس خلفي شمال</t>
        </is>
      </c>
      <c r="D88" s="109">
        <f>SUMIF('Car 1 - 00569'!$D$7:$D$300,$B88,'Car 1 - 00569'!$E$7:$E$300)+COUNTIFS('Car 1 - 00569'!$D$7:$D$300,$B88,'Car 1 - 00569'!$E$7:$E$300,"")</f>
        <v>0</v>
      </c>
      <c r="E88" s="109">
        <f>SUMIF('Car 2 - 01124'!$D$7:$D$300,$B88,'Car 2 - 01124'!$E$7:$E$300)+COUNTIFS('Car 2 - 01124'!$D$7:$D$300,$B88,'Car 2 - 01124'!$E$7:$E$300,"")</f>
        <v>1</v>
      </c>
      <c r="F88" s="109">
        <f>SUMIF('Car 3 - 00133'!$D$7:$D$300,$B88,'Car 3 - 00133'!$E$7:$E$300)+COUNTIFS('Car 3 - 00133'!$D$7:$D$300,$B88,'Car 3 - 00133'!$E$7:$E$300,"")</f>
        <v>0</v>
      </c>
      <c r="G88" s="109">
        <f>SUMIF('Car 4 - 00679'!$D$7:$D$300,$B88,'Car 4 - 00679'!$E$7:$E$300)+COUNTIFS('Car 4 - 00679'!$D$7:$D$300,$B88,'Car 4 - 00679'!$E$7:$E$300,"")</f>
        <v>0</v>
      </c>
      <c r="H88" s="109">
        <f>SUMIF('Car 5 - 00557'!$D$7:$D$300,$B88,'Car 5 - 00557'!$E$7:$E$300)+COUNTIFS('Car 5 - 00557'!$D$7:$D$300,$B88,'Car 5 - 00557'!$E$7:$E$300,"")</f>
        <v>0</v>
      </c>
      <c r="I88" s="109">
        <f>SUMIF('Car 6 - 00663'!$D$7:$D$300,$B88,'Car 6 - 00663'!$E$7:$E$300)+COUNTIFS('Car 6 - 00663'!$D$7:$D$300,$B88,'Car 6 - 00663'!$E$7:$E$300,"")</f>
        <v>0</v>
      </c>
      <c r="J88" s="109">
        <f>SUMIF('Car 7 - 00680'!$D$7:$D$300,$B88,'Car 7 - 00680'!$E$7:$E$300)+COUNTIFS('Car 7 - 00680'!$D$7:$D$300,$B88,'Car 7 - 00680'!$E$7:$E$300,"")</f>
        <v>0</v>
      </c>
      <c r="K88" s="109">
        <f>SUMIF('Car 8 - 00523'!$D$7:$D$300,$B88,'Car 8 - 00523'!$E$7:$E$300)+COUNTIFS('Car 8 - 00523'!$D$7:$D$300,$B88,'Car 8 - 00523'!$E$7:$E$300,"")</f>
        <v>0</v>
      </c>
      <c r="L88" s="109">
        <f>SUMIF('Car 9 - 00097'!$D$7:$D$300,$B88,'Car 9 - 00097'!$E$7:$E$300)+COUNTIFS('Car 9 - 00097'!$D$7:$D$300,$B88,'Car 9 - 00097'!$E$7:$E$300,"")</f>
        <v>0</v>
      </c>
      <c r="M88" s="109">
        <f>SUMIF('Car 10 - 01352'!$D$7:$D$300,$B88,'Car 10 - 01352'!$E$7:$E$300)+COUNTIFS('Car 10 - 01352'!$D$7:$D$300,$B88,'Car 10 - 01352'!$E$7:$E$300,"")</f>
        <v>0</v>
      </c>
      <c r="N88" s="109">
        <f>SUM(D88:M88)</f>
        <v>1</v>
      </c>
    </row>
    <row r="89">
      <c r="A89" s="108" t="inlineStr">
        <is>
          <t>SWITCH HAZARD WITH ILLUMINATION</t>
        </is>
      </c>
      <c r="B89" s="109" t="inlineStr">
        <is>
          <t>BF401444</t>
        </is>
      </c>
      <c r="C89" s="108" t="inlineStr">
        <is>
          <t>مفتاح انتظار</t>
        </is>
      </c>
      <c r="D89" s="109">
        <f>SUMIF('Car 1 - 00569'!$D$7:$D$300,$B89,'Car 1 - 00569'!$E$7:$E$300)+COUNTIFS('Car 1 - 00569'!$D$7:$D$300,$B89,'Car 1 - 00569'!$E$7:$E$300,"")</f>
        <v>0</v>
      </c>
      <c r="E89" s="109">
        <f>SUMIF('Car 2 - 01124'!$D$7:$D$300,$B89,'Car 2 - 01124'!$E$7:$E$300)+COUNTIFS('Car 2 - 01124'!$D$7:$D$300,$B89,'Car 2 - 01124'!$E$7:$E$300,"")</f>
        <v>0</v>
      </c>
      <c r="F89" s="109">
        <f>SUMIF('Car 3 - 00133'!$D$7:$D$300,$B89,'Car 3 - 00133'!$E$7:$E$300)+COUNTIFS('Car 3 - 00133'!$D$7:$D$300,$B89,'Car 3 - 00133'!$E$7:$E$300,"")</f>
        <v>0</v>
      </c>
      <c r="G89" s="109">
        <f>SUMIF('Car 4 - 00679'!$D$7:$D$300,$B89,'Car 4 - 00679'!$E$7:$E$300)+COUNTIFS('Car 4 - 00679'!$D$7:$D$300,$B89,'Car 4 - 00679'!$E$7:$E$300,"")</f>
        <v>0</v>
      </c>
      <c r="H89" s="109">
        <f>SUMIF('Car 5 - 00557'!$D$7:$D$300,$B89,'Car 5 - 00557'!$E$7:$E$300)+COUNTIFS('Car 5 - 00557'!$D$7:$D$300,$B89,'Car 5 - 00557'!$E$7:$E$300,"")</f>
        <v>1</v>
      </c>
      <c r="I89" s="109">
        <f>SUMIF('Car 6 - 00663'!$D$7:$D$300,$B89,'Car 6 - 00663'!$E$7:$E$300)+COUNTIFS('Car 6 - 00663'!$D$7:$D$300,$B89,'Car 6 - 00663'!$E$7:$E$300,"")</f>
        <v>0</v>
      </c>
      <c r="J89" s="109">
        <f>SUMIF('Car 7 - 00680'!$D$7:$D$300,$B89,'Car 7 - 00680'!$E$7:$E$300)+COUNTIFS('Car 7 - 00680'!$D$7:$D$300,$B89,'Car 7 - 00680'!$E$7:$E$300,"")</f>
        <v>0</v>
      </c>
      <c r="K89" s="109">
        <f>SUMIF('Car 8 - 00523'!$D$7:$D$300,$B89,'Car 8 - 00523'!$E$7:$E$300)+COUNTIFS('Car 8 - 00523'!$D$7:$D$300,$B89,'Car 8 - 00523'!$E$7:$E$300,"")</f>
        <v>0</v>
      </c>
      <c r="L89" s="109">
        <f>SUMIF('Car 9 - 00097'!$D$7:$D$300,$B89,'Car 9 - 00097'!$E$7:$E$300)+COUNTIFS('Car 9 - 00097'!$D$7:$D$300,$B89,'Car 9 - 00097'!$E$7:$E$300,"")</f>
        <v>1</v>
      </c>
      <c r="M89" s="109">
        <f>SUMIF('Car 10 - 01352'!$D$7:$D$300,$B89,'Car 10 - 01352'!$E$7:$E$300)+COUNTIFS('Car 10 - 01352'!$D$7:$D$300,$B89,'Car 10 - 01352'!$E$7:$E$300,"")</f>
        <v>0</v>
      </c>
      <c r="N89" s="109">
        <f>SUM(D89:M89)</f>
        <v>2</v>
      </c>
    </row>
    <row r="90">
      <c r="A90" s="108" t="inlineStr">
        <is>
          <t>SHAFT ASSEMBLY DRIVE</t>
        </is>
      </c>
      <c r="B90" s="109" t="inlineStr">
        <is>
          <t>BF551807</t>
        </is>
      </c>
      <c r="C90" s="108" t="inlineStr">
        <is>
          <t>كوبلين خلفي شمال</t>
        </is>
      </c>
      <c r="D90" s="109">
        <f>SUMIF('Car 1 - 00569'!$D$7:$D$300,$B90,'Car 1 - 00569'!$E$7:$E$300)+COUNTIFS('Car 1 - 00569'!$D$7:$D$300,$B90,'Car 1 - 00569'!$E$7:$E$300,"")</f>
        <v>0</v>
      </c>
      <c r="E90" s="109">
        <f>SUMIF('Car 2 - 01124'!$D$7:$D$300,$B90,'Car 2 - 01124'!$E$7:$E$300)+COUNTIFS('Car 2 - 01124'!$D$7:$D$300,$B90,'Car 2 - 01124'!$E$7:$E$300,"")</f>
        <v>0</v>
      </c>
      <c r="F90" s="109">
        <f>SUMIF('Car 3 - 00133'!$D$7:$D$300,$B90,'Car 3 - 00133'!$E$7:$E$300)+COUNTIFS('Car 3 - 00133'!$D$7:$D$300,$B90,'Car 3 - 00133'!$E$7:$E$300,"")</f>
        <v>0</v>
      </c>
      <c r="G90" s="109">
        <f>SUMIF('Car 4 - 00679'!$D$7:$D$300,$B90,'Car 4 - 00679'!$E$7:$E$300)+COUNTIFS('Car 4 - 00679'!$D$7:$D$300,$B90,'Car 4 - 00679'!$E$7:$E$300,"")</f>
        <v>0</v>
      </c>
      <c r="H90" s="109">
        <f>SUMIF('Car 5 - 00557'!$D$7:$D$300,$B90,'Car 5 - 00557'!$E$7:$E$300)+COUNTIFS('Car 5 - 00557'!$D$7:$D$300,$B90,'Car 5 - 00557'!$E$7:$E$300,"")</f>
        <v>0</v>
      </c>
      <c r="I90" s="109">
        <f>SUMIF('Car 6 - 00663'!$D$7:$D$300,$B90,'Car 6 - 00663'!$E$7:$E$300)+COUNTIFS('Car 6 - 00663'!$D$7:$D$300,$B90,'Car 6 - 00663'!$E$7:$E$300,"")</f>
        <v>0</v>
      </c>
      <c r="J90" s="109">
        <f>SUMIF('Car 7 - 00680'!$D$7:$D$300,$B90,'Car 7 - 00680'!$E$7:$E$300)+COUNTIFS('Car 7 - 00680'!$D$7:$D$300,$B90,'Car 7 - 00680'!$E$7:$E$300,"")</f>
        <v>0</v>
      </c>
      <c r="K90" s="109">
        <f>SUMIF('Car 8 - 00523'!$D$7:$D$300,$B90,'Car 8 - 00523'!$E$7:$E$300)+COUNTIFS('Car 8 - 00523'!$D$7:$D$300,$B90,'Car 8 - 00523'!$E$7:$E$300,"")</f>
        <v>0</v>
      </c>
      <c r="L90" s="109">
        <f>SUMIF('Car 9 - 00097'!$D$7:$D$300,$B90,'Car 9 - 00097'!$E$7:$E$300)+COUNTIFS('Car 9 - 00097'!$D$7:$D$300,$B90,'Car 9 - 00097'!$E$7:$E$300,"")</f>
        <v>1</v>
      </c>
      <c r="M90" s="109">
        <f>SUMIF('Car 10 - 01352'!$D$7:$D$300,$B90,'Car 10 - 01352'!$E$7:$E$300)+COUNTIFS('Car 10 - 01352'!$D$7:$D$300,$B90,'Car 10 - 01352'!$E$7:$E$300,"")</f>
        <v>0</v>
      </c>
      <c r="N90" s="109">
        <f>SUM(D90:M90)</f>
        <v>1</v>
      </c>
    </row>
    <row r="91">
      <c r="A91" s="108" t="inlineStr">
        <is>
          <t>SLEEVE MANIFOLD</t>
        </is>
      </c>
      <c r="B91" s="109" t="inlineStr">
        <is>
          <t>BF581419</t>
        </is>
      </c>
      <c r="C91" s="108" t="inlineStr">
        <is>
          <t>ضمن: منفولد</t>
        </is>
      </c>
      <c r="D91" s="109">
        <f>SUMIF('Car 1 - 00569'!$D$7:$D$300,$B91,'Car 1 - 00569'!$E$7:$E$300)+COUNTIFS('Car 1 - 00569'!$D$7:$D$300,$B91,'Car 1 - 00569'!$E$7:$E$300,"")</f>
        <v>0</v>
      </c>
      <c r="E91" s="109">
        <f>SUMIF('Car 2 - 01124'!$D$7:$D$300,$B91,'Car 2 - 01124'!$E$7:$E$300)+COUNTIFS('Car 2 - 01124'!$D$7:$D$300,$B91,'Car 2 - 01124'!$E$7:$E$300,"")</f>
        <v>0</v>
      </c>
      <c r="F91" s="109">
        <f>SUMIF('Car 3 - 00133'!$D$7:$D$300,$B91,'Car 3 - 00133'!$E$7:$E$300)+COUNTIFS('Car 3 - 00133'!$D$7:$D$300,$B91,'Car 3 - 00133'!$E$7:$E$300,"")</f>
        <v>0</v>
      </c>
      <c r="G91" s="109">
        <f>SUMIF('Car 4 - 00679'!$D$7:$D$300,$B91,'Car 4 - 00679'!$E$7:$E$300)+COUNTIFS('Car 4 - 00679'!$D$7:$D$300,$B91,'Car 4 - 00679'!$E$7:$E$300,"")</f>
        <v>0</v>
      </c>
      <c r="H91" s="109">
        <f>SUMIF('Car 5 - 00557'!$D$7:$D$300,$B91,'Car 5 - 00557'!$E$7:$E$300)+COUNTIFS('Car 5 - 00557'!$D$7:$D$300,$B91,'Car 5 - 00557'!$E$7:$E$300,"")</f>
        <v>1</v>
      </c>
      <c r="I91" s="109">
        <f>SUMIF('Car 6 - 00663'!$D$7:$D$300,$B91,'Car 6 - 00663'!$E$7:$E$300)+COUNTIFS('Car 6 - 00663'!$D$7:$D$300,$B91,'Car 6 - 00663'!$E$7:$E$300,"")</f>
        <v>0</v>
      </c>
      <c r="J91" s="109">
        <f>SUMIF('Car 7 - 00680'!$D$7:$D$300,$B91,'Car 7 - 00680'!$E$7:$E$300)+COUNTIFS('Car 7 - 00680'!$D$7:$D$300,$B91,'Car 7 - 00680'!$E$7:$E$300,"")</f>
        <v>0</v>
      </c>
      <c r="K91" s="109">
        <f>SUMIF('Car 8 - 00523'!$D$7:$D$300,$B91,'Car 8 - 00523'!$E$7:$E$300)+COUNTIFS('Car 8 - 00523'!$D$7:$D$300,$B91,'Car 8 - 00523'!$E$7:$E$300,"")</f>
        <v>0</v>
      </c>
      <c r="L91" s="109">
        <f>SUMIF('Car 9 - 00097'!$D$7:$D$300,$B91,'Car 9 - 00097'!$E$7:$E$300)+COUNTIFS('Car 9 - 00097'!$D$7:$D$300,$B91,'Car 9 - 00097'!$E$7:$E$300,"")</f>
        <v>1</v>
      </c>
      <c r="M91" s="109">
        <f>SUMIF('Car 10 - 01352'!$D$7:$D$300,$B91,'Car 10 - 01352'!$E$7:$E$300)+COUNTIFS('Car 10 - 01352'!$D$7:$D$300,$B91,'Car 10 - 01352'!$E$7:$E$300,"")</f>
        <v>0</v>
      </c>
      <c r="N91" s="109">
        <f>SUM(D91:M91)</f>
        <v>2</v>
      </c>
    </row>
    <row r="92">
      <c r="A92" s="108" t="inlineStr">
        <is>
          <t>MANIFOLD INTAKE</t>
        </is>
      </c>
      <c r="B92" s="109" t="inlineStr">
        <is>
          <t>BF581420</t>
        </is>
      </c>
      <c r="C92" s="108" t="inlineStr">
        <is>
          <t>منفولد</t>
        </is>
      </c>
      <c r="D92" s="109">
        <f>SUMIF('Car 1 - 00569'!$D$7:$D$300,$B92,'Car 1 - 00569'!$E$7:$E$300)+COUNTIFS('Car 1 - 00569'!$D$7:$D$300,$B92,'Car 1 - 00569'!$E$7:$E$300,"")</f>
        <v>0</v>
      </c>
      <c r="E92" s="109">
        <f>SUMIF('Car 2 - 01124'!$D$7:$D$300,$B92,'Car 2 - 01124'!$E$7:$E$300)+COUNTIFS('Car 2 - 01124'!$D$7:$D$300,$B92,'Car 2 - 01124'!$E$7:$E$300,"")</f>
        <v>0</v>
      </c>
      <c r="F92" s="109">
        <f>SUMIF('Car 3 - 00133'!$D$7:$D$300,$B92,'Car 3 - 00133'!$E$7:$E$300)+COUNTIFS('Car 3 - 00133'!$D$7:$D$300,$B92,'Car 3 - 00133'!$E$7:$E$300,"")</f>
        <v>0</v>
      </c>
      <c r="G92" s="109">
        <f>SUMIF('Car 4 - 00679'!$D$7:$D$300,$B92,'Car 4 - 00679'!$E$7:$E$300)+COUNTIFS('Car 4 - 00679'!$D$7:$D$300,$B92,'Car 4 - 00679'!$E$7:$E$300,"")</f>
        <v>0</v>
      </c>
      <c r="H92" s="109">
        <f>SUMIF('Car 5 - 00557'!$D$7:$D$300,$B92,'Car 5 - 00557'!$E$7:$E$300)+COUNTIFS('Car 5 - 00557'!$D$7:$D$300,$B92,'Car 5 - 00557'!$E$7:$E$300,"")</f>
        <v>1</v>
      </c>
      <c r="I92" s="109">
        <f>SUMIF('Car 6 - 00663'!$D$7:$D$300,$B92,'Car 6 - 00663'!$E$7:$E$300)+COUNTIFS('Car 6 - 00663'!$D$7:$D$300,$B92,'Car 6 - 00663'!$E$7:$E$300,"")</f>
        <v>0</v>
      </c>
      <c r="J92" s="109">
        <f>SUMIF('Car 7 - 00680'!$D$7:$D$300,$B92,'Car 7 - 00680'!$E$7:$E$300)+COUNTIFS('Car 7 - 00680'!$D$7:$D$300,$B92,'Car 7 - 00680'!$E$7:$E$300,"")</f>
        <v>0</v>
      </c>
      <c r="K92" s="109">
        <f>SUMIF('Car 8 - 00523'!$D$7:$D$300,$B92,'Car 8 - 00523'!$E$7:$E$300)+COUNTIFS('Car 8 - 00523'!$D$7:$D$300,$B92,'Car 8 - 00523'!$E$7:$E$300,"")</f>
        <v>0</v>
      </c>
      <c r="L92" s="109">
        <f>SUMIF('Car 9 - 00097'!$D$7:$D$300,$B92,'Car 9 - 00097'!$E$7:$E$300)+COUNTIFS('Car 9 - 00097'!$D$7:$D$300,$B92,'Car 9 - 00097'!$E$7:$E$300,"")</f>
        <v>1</v>
      </c>
      <c r="M92" s="109">
        <f>SUMIF('Car 10 - 01352'!$D$7:$D$300,$B92,'Car 10 - 01352'!$E$7:$E$300)+COUNTIFS('Car 10 - 01352'!$D$7:$D$300,$B92,'Car 10 - 01352'!$E$7:$E$300,"")</f>
        <v>0</v>
      </c>
      <c r="N92" s="109">
        <f>SUM(D92:M92)</f>
        <v>2</v>
      </c>
    </row>
    <row r="93">
      <c r="A93" s="108" t="inlineStr">
        <is>
          <t>ASSEMBLY INJECTOR CAP</t>
        </is>
      </c>
      <c r="B93" s="109" t="inlineStr">
        <is>
          <t>BF611012</t>
        </is>
      </c>
      <c r="C93" s="108" t="inlineStr">
        <is>
          <t>ضمن: رشاش بنزين</t>
        </is>
      </c>
      <c r="D93" s="109">
        <f>SUMIF('Car 1 - 00569'!$D$7:$D$300,$B93,'Car 1 - 00569'!$E$7:$E$300)+COUNTIFS('Car 1 - 00569'!$D$7:$D$300,$B93,'Car 1 - 00569'!$E$7:$E$300,"")</f>
        <v>0</v>
      </c>
      <c r="E93" s="109">
        <f>SUMIF('Car 2 - 01124'!$D$7:$D$300,$B93,'Car 2 - 01124'!$E$7:$E$300)+COUNTIFS('Car 2 - 01124'!$D$7:$D$300,$B93,'Car 2 - 01124'!$E$7:$E$300,"")</f>
        <v>0</v>
      </c>
      <c r="F93" s="109">
        <f>SUMIF('Car 3 - 00133'!$D$7:$D$300,$B93,'Car 3 - 00133'!$E$7:$E$300)+COUNTIFS('Car 3 - 00133'!$D$7:$D$300,$B93,'Car 3 - 00133'!$E$7:$E$300,"")</f>
        <v>0</v>
      </c>
      <c r="G93" s="109">
        <f>SUMIF('Car 4 - 00679'!$D$7:$D$300,$B93,'Car 4 - 00679'!$E$7:$E$300)+COUNTIFS('Car 4 - 00679'!$D$7:$D$300,$B93,'Car 4 - 00679'!$E$7:$E$300,"")</f>
        <v>0</v>
      </c>
      <c r="H93" s="109">
        <f>SUMIF('Car 5 - 00557'!$D$7:$D$300,$B93,'Car 5 - 00557'!$E$7:$E$300)+COUNTIFS('Car 5 - 00557'!$D$7:$D$300,$B93,'Car 5 - 00557'!$E$7:$E$300,"")</f>
        <v>1</v>
      </c>
      <c r="I93" s="109">
        <f>SUMIF('Car 6 - 00663'!$D$7:$D$300,$B93,'Car 6 - 00663'!$E$7:$E$300)+COUNTIFS('Car 6 - 00663'!$D$7:$D$300,$B93,'Car 6 - 00663'!$E$7:$E$300,"")</f>
        <v>0</v>
      </c>
      <c r="J93" s="109">
        <f>SUMIF('Car 7 - 00680'!$D$7:$D$300,$B93,'Car 7 - 00680'!$E$7:$E$300)+COUNTIFS('Car 7 - 00680'!$D$7:$D$300,$B93,'Car 7 - 00680'!$E$7:$E$300,"")</f>
        <v>0</v>
      </c>
      <c r="K93" s="109">
        <f>SUMIF('Car 8 - 00523'!$D$7:$D$300,$B93,'Car 8 - 00523'!$E$7:$E$300)+COUNTIFS('Car 8 - 00523'!$D$7:$D$300,$B93,'Car 8 - 00523'!$E$7:$E$300,"")</f>
        <v>0</v>
      </c>
      <c r="L93" s="109">
        <f>SUMIF('Car 9 - 00097'!$D$7:$D$300,$B93,'Car 9 - 00097'!$E$7:$E$300)+COUNTIFS('Car 9 - 00097'!$D$7:$D$300,$B93,'Car 9 - 00097'!$E$7:$E$300,"")</f>
        <v>1</v>
      </c>
      <c r="M93" s="109">
        <f>SUMIF('Car 10 - 01352'!$D$7:$D$300,$B93,'Car 10 - 01352'!$E$7:$E$300)+COUNTIFS('Car 10 - 01352'!$D$7:$D$300,$B93,'Car 10 - 01352'!$E$7:$E$300,"")</f>
        <v>0</v>
      </c>
      <c r="N93" s="109">
        <f>SUM(D93:M93)</f>
        <v>2</v>
      </c>
    </row>
    <row r="94">
      <c r="A94" s="108" t="inlineStr">
        <is>
          <t>BODY THROTTLE ASSEMBLY</t>
        </is>
      </c>
      <c r="B94" s="109" t="inlineStr">
        <is>
          <t>BF611241</t>
        </is>
      </c>
      <c r="C94" s="108" t="inlineStr">
        <is>
          <t>بوابه</t>
        </is>
      </c>
      <c r="D94" s="109">
        <f>SUMIF('Car 1 - 00569'!$D$7:$D$300,$B94,'Car 1 - 00569'!$E$7:$E$300)+COUNTIFS('Car 1 - 00569'!$D$7:$D$300,$B94,'Car 1 - 00569'!$E$7:$E$300,"")</f>
        <v>0</v>
      </c>
      <c r="E94" s="109">
        <f>SUMIF('Car 2 - 01124'!$D$7:$D$300,$B94,'Car 2 - 01124'!$E$7:$E$300)+COUNTIFS('Car 2 - 01124'!$D$7:$D$300,$B94,'Car 2 - 01124'!$E$7:$E$300,"")</f>
        <v>0</v>
      </c>
      <c r="F94" s="109">
        <f>SUMIF('Car 3 - 00133'!$D$7:$D$300,$B94,'Car 3 - 00133'!$E$7:$E$300)+COUNTIFS('Car 3 - 00133'!$D$7:$D$300,$B94,'Car 3 - 00133'!$E$7:$E$300,"")</f>
        <v>0</v>
      </c>
      <c r="G94" s="109">
        <f>SUMIF('Car 4 - 00679'!$D$7:$D$300,$B94,'Car 4 - 00679'!$E$7:$E$300)+COUNTIFS('Car 4 - 00679'!$D$7:$D$300,$B94,'Car 4 - 00679'!$E$7:$E$300,"")</f>
        <v>0</v>
      </c>
      <c r="H94" s="109">
        <f>SUMIF('Car 5 - 00557'!$D$7:$D$300,$B94,'Car 5 - 00557'!$E$7:$E$300)+COUNTIFS('Car 5 - 00557'!$D$7:$D$300,$B94,'Car 5 - 00557'!$E$7:$E$300,"")</f>
        <v>1</v>
      </c>
      <c r="I94" s="109">
        <f>SUMIF('Car 6 - 00663'!$D$7:$D$300,$B94,'Car 6 - 00663'!$E$7:$E$300)+COUNTIFS('Car 6 - 00663'!$D$7:$D$300,$B94,'Car 6 - 00663'!$E$7:$E$300,"")</f>
        <v>0</v>
      </c>
      <c r="J94" s="109">
        <f>SUMIF('Car 7 - 00680'!$D$7:$D$300,$B94,'Car 7 - 00680'!$E$7:$E$300)+COUNTIFS('Car 7 - 00680'!$D$7:$D$300,$B94,'Car 7 - 00680'!$E$7:$E$300,"")</f>
        <v>0</v>
      </c>
      <c r="K94" s="109">
        <f>SUMIF('Car 8 - 00523'!$D$7:$D$300,$B94,'Car 8 - 00523'!$E$7:$E$300)+COUNTIFS('Car 8 - 00523'!$D$7:$D$300,$B94,'Car 8 - 00523'!$E$7:$E$300,"")</f>
        <v>0</v>
      </c>
      <c r="L94" s="109">
        <f>SUMIF('Car 9 - 00097'!$D$7:$D$300,$B94,'Car 9 - 00097'!$E$7:$E$300)+COUNTIFS('Car 9 - 00097'!$D$7:$D$300,$B94,'Car 9 - 00097'!$E$7:$E$300,"")</f>
        <v>1</v>
      </c>
      <c r="M94" s="109">
        <f>SUMIF('Car 10 - 01352'!$D$7:$D$300,$B94,'Car 10 - 01352'!$E$7:$E$300)+COUNTIFS('Car 10 - 01352'!$D$7:$D$300,$B94,'Car 10 - 01352'!$E$7:$E$300,"")</f>
        <v>0</v>
      </c>
      <c r="N94" s="109">
        <f>SUM(D94:M94)</f>
        <v>2</v>
      </c>
    </row>
    <row r="95">
      <c r="A95" s="108" t="inlineStr">
        <is>
          <t>GASKET - EXHAUST</t>
        </is>
      </c>
      <c r="B95" s="109" t="inlineStr">
        <is>
          <t>DJ101064</t>
        </is>
      </c>
      <c r="C95" s="108" t="inlineStr">
        <is>
          <t>جوانات نحاس</t>
        </is>
      </c>
      <c r="D95" s="109">
        <f>SUMIF('Car 1 - 00569'!$D$7:$D$300,$B95,'Car 1 - 00569'!$E$7:$E$300)+COUNTIFS('Car 1 - 00569'!$D$7:$D$300,$B95,'Car 1 - 00569'!$E$7:$E$300,"")</f>
        <v>0</v>
      </c>
      <c r="E95" s="109">
        <f>SUMIF('Car 2 - 01124'!$D$7:$D$300,$B95,'Car 2 - 01124'!$E$7:$E$300)+COUNTIFS('Car 2 - 01124'!$D$7:$D$300,$B95,'Car 2 - 01124'!$E$7:$E$300,"")</f>
        <v>0</v>
      </c>
      <c r="F95" s="109">
        <f>SUMIF('Car 3 - 00133'!$D$7:$D$300,$B95,'Car 3 - 00133'!$E$7:$E$300)+COUNTIFS('Car 3 - 00133'!$D$7:$D$300,$B95,'Car 3 - 00133'!$E$7:$E$300,"")</f>
        <v>0</v>
      </c>
      <c r="G95" s="109">
        <f>SUMIF('Car 4 - 00679'!$D$7:$D$300,$B95,'Car 4 - 00679'!$E$7:$E$300)+COUNTIFS('Car 4 - 00679'!$D$7:$D$300,$B95,'Car 4 - 00679'!$E$7:$E$300,"")</f>
        <v>0</v>
      </c>
      <c r="H95" s="109">
        <f>SUMIF('Car 5 - 00557'!$D$7:$D$300,$B95,'Car 5 - 00557'!$E$7:$E$300)+COUNTIFS('Car 5 - 00557'!$D$7:$D$300,$B95,'Car 5 - 00557'!$E$7:$E$300,"")</f>
        <v>0</v>
      </c>
      <c r="I95" s="109">
        <f>SUMIF('Car 6 - 00663'!$D$7:$D$300,$B95,'Car 6 - 00663'!$E$7:$E$300)+COUNTIFS('Car 6 - 00663'!$D$7:$D$300,$B95,'Car 6 - 00663'!$E$7:$E$300,"")</f>
        <v>0</v>
      </c>
      <c r="J95" s="109">
        <f>SUMIF('Car 7 - 00680'!$D$7:$D$300,$B95,'Car 7 - 00680'!$E$7:$E$300)+COUNTIFS('Car 7 - 00680'!$D$7:$D$300,$B95,'Car 7 - 00680'!$E$7:$E$300,"")</f>
        <v>0</v>
      </c>
      <c r="K95" s="109">
        <f>SUMIF('Car 8 - 00523'!$D$7:$D$300,$B95,'Car 8 - 00523'!$E$7:$E$300)+COUNTIFS('Car 8 - 00523'!$D$7:$D$300,$B95,'Car 8 - 00523'!$E$7:$E$300,"")</f>
        <v>0</v>
      </c>
      <c r="L95" s="109">
        <f>SUMIF('Car 9 - 00097'!$D$7:$D$300,$B95,'Car 9 - 00097'!$E$7:$E$300)+COUNTIFS('Car 9 - 00097'!$D$7:$D$300,$B95,'Car 9 - 00097'!$E$7:$E$300,"")</f>
        <v>1</v>
      </c>
      <c r="M95" s="109">
        <f>SUMIF('Car 10 - 01352'!$D$7:$D$300,$B95,'Car 10 - 01352'!$E$7:$E$300)+COUNTIFS('Car 10 - 01352'!$D$7:$D$300,$B95,'Car 10 - 01352'!$E$7:$E$300,"")</f>
        <v>0</v>
      </c>
      <c r="N95" s="109">
        <f>SUM(D95:M95)</f>
        <v>1</v>
      </c>
    </row>
    <row r="96">
      <c r="A96" s="108" t="inlineStr">
        <is>
          <t>FIXING SCREW</t>
        </is>
      </c>
      <c r="B96" s="109" t="inlineStr">
        <is>
          <t>JG581424</t>
        </is>
      </c>
      <c r="C96" s="108" t="inlineStr">
        <is>
          <t>ضمن: رشاش بنزين</t>
        </is>
      </c>
      <c r="D96" s="109">
        <f>SUMIF('Car 1 - 00569'!$D$7:$D$300,$B96,'Car 1 - 00569'!$E$7:$E$300)+COUNTIFS('Car 1 - 00569'!$D$7:$D$300,$B96,'Car 1 - 00569'!$E$7:$E$300,"")</f>
        <v>0</v>
      </c>
      <c r="E96" s="109">
        <f>SUMIF('Car 2 - 01124'!$D$7:$D$300,$B96,'Car 2 - 01124'!$E$7:$E$300)+COUNTIFS('Car 2 - 01124'!$D$7:$D$300,$B96,'Car 2 - 01124'!$E$7:$E$300,"")</f>
        <v>0</v>
      </c>
      <c r="F96" s="109">
        <f>SUMIF('Car 3 - 00133'!$D$7:$D$300,$B96,'Car 3 - 00133'!$E$7:$E$300)+COUNTIFS('Car 3 - 00133'!$D$7:$D$300,$B96,'Car 3 - 00133'!$E$7:$E$300,"")</f>
        <v>0</v>
      </c>
      <c r="G96" s="109">
        <f>SUMIF('Car 4 - 00679'!$D$7:$D$300,$B96,'Car 4 - 00679'!$E$7:$E$300)+COUNTIFS('Car 4 - 00679'!$D$7:$D$300,$B96,'Car 4 - 00679'!$E$7:$E$300,"")</f>
        <v>0</v>
      </c>
      <c r="H96" s="109">
        <f>SUMIF('Car 5 - 00557'!$D$7:$D$300,$B96,'Car 5 - 00557'!$E$7:$E$300)+COUNTIFS('Car 5 - 00557'!$D$7:$D$300,$B96,'Car 5 - 00557'!$E$7:$E$300,"")</f>
        <v>1</v>
      </c>
      <c r="I96" s="109">
        <f>SUMIF('Car 6 - 00663'!$D$7:$D$300,$B96,'Car 6 - 00663'!$E$7:$E$300)+COUNTIFS('Car 6 - 00663'!$D$7:$D$300,$B96,'Car 6 - 00663'!$E$7:$E$300,"")</f>
        <v>0</v>
      </c>
      <c r="J96" s="109">
        <f>SUMIF('Car 7 - 00680'!$D$7:$D$300,$B96,'Car 7 - 00680'!$E$7:$E$300)+COUNTIFS('Car 7 - 00680'!$D$7:$D$300,$B96,'Car 7 - 00680'!$E$7:$E$300,"")</f>
        <v>0</v>
      </c>
      <c r="K96" s="109">
        <f>SUMIF('Car 8 - 00523'!$D$7:$D$300,$B96,'Car 8 - 00523'!$E$7:$E$300)+COUNTIFS('Car 8 - 00523'!$D$7:$D$300,$B96,'Car 8 - 00523'!$E$7:$E$300,"")</f>
        <v>0</v>
      </c>
      <c r="L96" s="109">
        <f>SUMIF('Car 9 - 00097'!$D$7:$D$300,$B96,'Car 9 - 00097'!$E$7:$E$300)+COUNTIFS('Car 9 - 00097'!$D$7:$D$300,$B96,'Car 9 - 00097'!$E$7:$E$300,"")</f>
        <v>1</v>
      </c>
      <c r="M96" s="109">
        <f>SUMIF('Car 10 - 01352'!$D$7:$D$300,$B96,'Car 10 - 01352'!$E$7:$E$300)+COUNTIFS('Car 10 - 01352'!$D$7:$D$300,$B96,'Car 10 - 01352'!$E$7:$E$300,"")</f>
        <v>0</v>
      </c>
      <c r="N96" s="109">
        <f>SUM(D96:M96)</f>
        <v>2</v>
      </c>
    </row>
    <row r="97">
      <c r="A97" s="108" t="inlineStr">
        <is>
          <t>CLAMP</t>
        </is>
      </c>
      <c r="B97" s="109" t="inlineStr">
        <is>
          <t>JG581442</t>
        </is>
      </c>
      <c r="C97" s="108" t="inlineStr">
        <is>
          <t>ضمن: منفولد</t>
        </is>
      </c>
      <c r="D97" s="109">
        <f>SUMIF('Car 1 - 00569'!$D$7:$D$300,$B97,'Car 1 - 00569'!$E$7:$E$300)+COUNTIFS('Car 1 - 00569'!$D$7:$D$300,$B97,'Car 1 - 00569'!$E$7:$E$300,"")</f>
        <v>0</v>
      </c>
      <c r="E97" s="109">
        <f>SUMIF('Car 2 - 01124'!$D$7:$D$300,$B97,'Car 2 - 01124'!$E$7:$E$300)+COUNTIFS('Car 2 - 01124'!$D$7:$D$300,$B97,'Car 2 - 01124'!$E$7:$E$300,"")</f>
        <v>0</v>
      </c>
      <c r="F97" s="109">
        <f>SUMIF('Car 3 - 00133'!$D$7:$D$300,$B97,'Car 3 - 00133'!$E$7:$E$300)+COUNTIFS('Car 3 - 00133'!$D$7:$D$300,$B97,'Car 3 - 00133'!$E$7:$E$300,"")</f>
        <v>0</v>
      </c>
      <c r="G97" s="109">
        <f>SUMIF('Car 4 - 00679'!$D$7:$D$300,$B97,'Car 4 - 00679'!$E$7:$E$300)+COUNTIFS('Car 4 - 00679'!$D$7:$D$300,$B97,'Car 4 - 00679'!$E$7:$E$300,"")</f>
        <v>0</v>
      </c>
      <c r="H97" s="109">
        <f>SUMIF('Car 5 - 00557'!$D$7:$D$300,$B97,'Car 5 - 00557'!$E$7:$E$300)+COUNTIFS('Car 5 - 00557'!$D$7:$D$300,$B97,'Car 5 - 00557'!$E$7:$E$300,"")</f>
        <v>1</v>
      </c>
      <c r="I97" s="109">
        <f>SUMIF('Car 6 - 00663'!$D$7:$D$300,$B97,'Car 6 - 00663'!$E$7:$E$300)+COUNTIFS('Car 6 - 00663'!$D$7:$D$300,$B97,'Car 6 - 00663'!$E$7:$E$300,"")</f>
        <v>0</v>
      </c>
      <c r="J97" s="109">
        <f>SUMIF('Car 7 - 00680'!$D$7:$D$300,$B97,'Car 7 - 00680'!$E$7:$E$300)+COUNTIFS('Car 7 - 00680'!$D$7:$D$300,$B97,'Car 7 - 00680'!$E$7:$E$300,"")</f>
        <v>0</v>
      </c>
      <c r="K97" s="109">
        <f>SUMIF('Car 8 - 00523'!$D$7:$D$300,$B97,'Car 8 - 00523'!$E$7:$E$300)+COUNTIFS('Car 8 - 00523'!$D$7:$D$300,$B97,'Car 8 - 00523'!$E$7:$E$300,"")</f>
        <v>0</v>
      </c>
      <c r="L97" s="109">
        <f>SUMIF('Car 9 - 00097'!$D$7:$D$300,$B97,'Car 9 - 00097'!$E$7:$E$300)+COUNTIFS('Car 9 - 00097'!$D$7:$D$300,$B97,'Car 9 - 00097'!$E$7:$E$300,"")</f>
        <v>1</v>
      </c>
      <c r="M97" s="109">
        <f>SUMIF('Car 10 - 01352'!$D$7:$D$300,$B97,'Car 10 - 01352'!$E$7:$E$300)+COUNTIFS('Car 10 - 01352'!$D$7:$D$300,$B97,'Car 10 - 01352'!$E$7:$E$300,"")</f>
        <v>0</v>
      </c>
      <c r="N97" s="109">
        <f>SUM(D97:M97)</f>
        <v>2</v>
      </c>
    </row>
    <row r="98">
      <c r="A98" s="108" t="inlineStr">
        <is>
          <t>CLIP INJECTOR CLIP</t>
        </is>
      </c>
      <c r="B98" s="109" t="inlineStr">
        <is>
          <t>JG611006</t>
        </is>
      </c>
      <c r="C98" s="108" t="inlineStr">
        <is>
          <t>ضمن: رشاش بنزين</t>
        </is>
      </c>
      <c r="D98" s="109">
        <f>SUMIF('Car 1 - 00569'!$D$7:$D$300,$B98,'Car 1 - 00569'!$E$7:$E$300)+COUNTIFS('Car 1 - 00569'!$D$7:$D$300,$B98,'Car 1 - 00569'!$E$7:$E$300,"")</f>
        <v>0</v>
      </c>
      <c r="E98" s="109">
        <f>SUMIF('Car 2 - 01124'!$D$7:$D$300,$B98,'Car 2 - 01124'!$E$7:$E$300)+COUNTIFS('Car 2 - 01124'!$D$7:$D$300,$B98,'Car 2 - 01124'!$E$7:$E$300,"")</f>
        <v>0</v>
      </c>
      <c r="F98" s="109">
        <f>SUMIF('Car 3 - 00133'!$D$7:$D$300,$B98,'Car 3 - 00133'!$E$7:$E$300)+COUNTIFS('Car 3 - 00133'!$D$7:$D$300,$B98,'Car 3 - 00133'!$E$7:$E$300,"")</f>
        <v>0</v>
      </c>
      <c r="G98" s="109">
        <f>SUMIF('Car 4 - 00679'!$D$7:$D$300,$B98,'Car 4 - 00679'!$E$7:$E$300)+COUNTIFS('Car 4 - 00679'!$D$7:$D$300,$B98,'Car 4 - 00679'!$E$7:$E$300,"")</f>
        <v>0</v>
      </c>
      <c r="H98" s="109">
        <f>SUMIF('Car 5 - 00557'!$D$7:$D$300,$B98,'Car 5 - 00557'!$E$7:$E$300)+COUNTIFS('Car 5 - 00557'!$D$7:$D$300,$B98,'Car 5 - 00557'!$E$7:$E$300,"")</f>
        <v>1</v>
      </c>
      <c r="I98" s="109">
        <f>SUMIF('Car 6 - 00663'!$D$7:$D$300,$B98,'Car 6 - 00663'!$E$7:$E$300)+COUNTIFS('Car 6 - 00663'!$D$7:$D$300,$B98,'Car 6 - 00663'!$E$7:$E$300,"")</f>
        <v>0</v>
      </c>
      <c r="J98" s="109">
        <f>SUMIF('Car 7 - 00680'!$D$7:$D$300,$B98,'Car 7 - 00680'!$E$7:$E$300)+COUNTIFS('Car 7 - 00680'!$D$7:$D$300,$B98,'Car 7 - 00680'!$E$7:$E$300,"")</f>
        <v>0</v>
      </c>
      <c r="K98" s="109">
        <f>SUMIF('Car 8 - 00523'!$D$7:$D$300,$B98,'Car 8 - 00523'!$E$7:$E$300)+COUNTIFS('Car 8 - 00523'!$D$7:$D$300,$B98,'Car 8 - 00523'!$E$7:$E$300,"")</f>
        <v>0</v>
      </c>
      <c r="L98" s="109">
        <f>SUMIF('Car 9 - 00097'!$D$7:$D$300,$B98,'Car 9 - 00097'!$E$7:$E$300)+COUNTIFS('Car 9 - 00097'!$D$7:$D$300,$B98,'Car 9 - 00097'!$E$7:$E$300,"")</f>
        <v>1</v>
      </c>
      <c r="M98" s="109">
        <f>SUMIF('Car 10 - 01352'!$D$7:$D$300,$B98,'Car 10 - 01352'!$E$7:$E$300)+COUNTIFS('Car 10 - 01352'!$D$7:$D$300,$B98,'Car 10 - 01352'!$E$7:$E$300,"")</f>
        <v>0</v>
      </c>
      <c r="N98" s="109">
        <f>SUM(D98:M98)</f>
        <v>2</v>
      </c>
    </row>
    <row r="99">
      <c r="A99" s="108" t="inlineStr">
        <is>
          <t>FUEL INJECTOR</t>
        </is>
      </c>
      <c r="B99" s="109" t="inlineStr">
        <is>
          <t>JG611007</t>
        </is>
      </c>
      <c r="C99" s="108" t="inlineStr">
        <is>
          <t>رشاش بنزين</t>
        </is>
      </c>
      <c r="D99" s="109">
        <f>SUMIF('Car 1 - 00569'!$D$7:$D$300,$B99,'Car 1 - 00569'!$E$7:$E$300)+COUNTIFS('Car 1 - 00569'!$D$7:$D$300,$B99,'Car 1 - 00569'!$E$7:$E$300,"")</f>
        <v>0</v>
      </c>
      <c r="E99" s="109">
        <f>SUMIF('Car 2 - 01124'!$D$7:$D$300,$B99,'Car 2 - 01124'!$E$7:$E$300)+COUNTIFS('Car 2 - 01124'!$D$7:$D$300,$B99,'Car 2 - 01124'!$E$7:$E$300,"")</f>
        <v>0</v>
      </c>
      <c r="F99" s="109">
        <f>SUMIF('Car 3 - 00133'!$D$7:$D$300,$B99,'Car 3 - 00133'!$E$7:$E$300)+COUNTIFS('Car 3 - 00133'!$D$7:$D$300,$B99,'Car 3 - 00133'!$E$7:$E$300,"")</f>
        <v>0</v>
      </c>
      <c r="G99" s="109">
        <f>SUMIF('Car 4 - 00679'!$D$7:$D$300,$B99,'Car 4 - 00679'!$E$7:$E$300)+COUNTIFS('Car 4 - 00679'!$D$7:$D$300,$B99,'Car 4 - 00679'!$E$7:$E$300,"")</f>
        <v>0</v>
      </c>
      <c r="H99" s="109">
        <f>SUMIF('Car 5 - 00557'!$D$7:$D$300,$B99,'Car 5 - 00557'!$E$7:$E$300)+COUNTIFS('Car 5 - 00557'!$D$7:$D$300,$B99,'Car 5 - 00557'!$E$7:$E$300,"")</f>
        <v>1</v>
      </c>
      <c r="I99" s="109">
        <f>SUMIF('Car 6 - 00663'!$D$7:$D$300,$B99,'Car 6 - 00663'!$E$7:$E$300)+COUNTIFS('Car 6 - 00663'!$D$7:$D$300,$B99,'Car 6 - 00663'!$E$7:$E$300,"")</f>
        <v>0</v>
      </c>
      <c r="J99" s="109">
        <f>SUMIF('Car 7 - 00680'!$D$7:$D$300,$B99,'Car 7 - 00680'!$E$7:$E$300)+COUNTIFS('Car 7 - 00680'!$D$7:$D$300,$B99,'Car 7 - 00680'!$E$7:$E$300,"")</f>
        <v>0</v>
      </c>
      <c r="K99" s="109">
        <f>SUMIF('Car 8 - 00523'!$D$7:$D$300,$B99,'Car 8 - 00523'!$E$7:$E$300)+COUNTIFS('Car 8 - 00523'!$D$7:$D$300,$B99,'Car 8 - 00523'!$E$7:$E$300,"")</f>
        <v>0</v>
      </c>
      <c r="L99" s="109">
        <f>SUMIF('Car 9 - 00097'!$D$7:$D$300,$B99,'Car 9 - 00097'!$E$7:$E$300)+COUNTIFS('Car 9 - 00097'!$D$7:$D$300,$B99,'Car 9 - 00097'!$E$7:$E$300,"")</f>
        <v>1</v>
      </c>
      <c r="M99" s="109">
        <f>SUMIF('Car 10 - 01352'!$D$7:$D$300,$B99,'Car 10 - 01352'!$E$7:$E$300)+COUNTIFS('Car 10 - 01352'!$D$7:$D$300,$B99,'Car 10 - 01352'!$E$7:$E$300,"")</f>
        <v>0</v>
      </c>
      <c r="N99" s="109">
        <f>SUM(D99:M99)</f>
        <v>2</v>
      </c>
    </row>
    <row r="100">
      <c r="A100" s="108" t="inlineStr">
        <is>
          <t>ECU</t>
        </is>
      </c>
      <c r="B100" s="109" t="inlineStr">
        <is>
          <t>JP351439</t>
        </is>
      </c>
      <c r="C100" s="108" t="inlineStr">
        <is>
          <t>كنترول</t>
        </is>
      </c>
      <c r="D100" s="109">
        <f>SUMIF('Car 1 - 00569'!$D$7:$D$300,$B100,'Car 1 - 00569'!$E$7:$E$300)+COUNTIFS('Car 1 - 00569'!$D$7:$D$300,$B100,'Car 1 - 00569'!$E$7:$E$300,"")</f>
        <v>0</v>
      </c>
      <c r="E100" s="109">
        <f>SUMIF('Car 2 - 01124'!$D$7:$D$300,$B100,'Car 2 - 01124'!$E$7:$E$300)+COUNTIFS('Car 2 - 01124'!$D$7:$D$300,$B100,'Car 2 - 01124'!$E$7:$E$300,"")</f>
        <v>0</v>
      </c>
      <c r="F100" s="109">
        <f>SUMIF('Car 3 - 00133'!$D$7:$D$300,$B100,'Car 3 - 00133'!$E$7:$E$300)+COUNTIFS('Car 3 - 00133'!$D$7:$D$300,$B100,'Car 3 - 00133'!$E$7:$E$300,"")</f>
        <v>1</v>
      </c>
      <c r="G100" s="109">
        <f>SUMIF('Car 4 - 00679'!$D$7:$D$300,$B100,'Car 4 - 00679'!$E$7:$E$300)+COUNTIFS('Car 4 - 00679'!$D$7:$D$300,$B100,'Car 4 - 00679'!$E$7:$E$300,"")</f>
        <v>0</v>
      </c>
      <c r="H100" s="109">
        <f>SUMIF('Car 5 - 00557'!$D$7:$D$300,$B100,'Car 5 - 00557'!$E$7:$E$300)+COUNTIFS('Car 5 - 00557'!$D$7:$D$300,$B100,'Car 5 - 00557'!$E$7:$E$300,"")</f>
        <v>1</v>
      </c>
      <c r="I100" s="109">
        <f>SUMIF('Car 6 - 00663'!$D$7:$D$300,$B100,'Car 6 - 00663'!$E$7:$E$300)+COUNTIFS('Car 6 - 00663'!$D$7:$D$300,$B100,'Car 6 - 00663'!$E$7:$E$300,"")</f>
        <v>0</v>
      </c>
      <c r="J100" s="109">
        <f>SUMIF('Car 7 - 00680'!$D$7:$D$300,$B100,'Car 7 - 00680'!$E$7:$E$300)+COUNTIFS('Car 7 - 00680'!$D$7:$D$300,$B100,'Car 7 - 00680'!$E$7:$E$300,"")</f>
        <v>0</v>
      </c>
      <c r="K100" s="109">
        <f>SUMIF('Car 8 - 00523'!$D$7:$D$300,$B100,'Car 8 - 00523'!$E$7:$E$300)+COUNTIFS('Car 8 - 00523'!$D$7:$D$300,$B100,'Car 8 - 00523'!$E$7:$E$300,"")</f>
        <v>0</v>
      </c>
      <c r="L100" s="109">
        <f>SUMIF('Car 9 - 00097'!$D$7:$D$300,$B100,'Car 9 - 00097'!$E$7:$E$300)+COUNTIFS('Car 9 - 00097'!$D$7:$D$300,$B100,'Car 9 - 00097'!$E$7:$E$300,"")</f>
        <v>1</v>
      </c>
      <c r="M100" s="109">
        <f>SUMIF('Car 10 - 01352'!$D$7:$D$300,$B100,'Car 10 - 01352'!$E$7:$E$300)+COUNTIFS('Car 10 - 01352'!$D$7:$D$300,$B100,'Car 10 - 01352'!$E$7:$E$300,"")</f>
        <v>0</v>
      </c>
      <c r="N100" s="109">
        <f>SUM(D100:M100)</f>
        <v>3</v>
      </c>
    </row>
    <row r="101">
      <c r="A101" s="108" t="inlineStr">
        <is>
          <t>CLAMP CONNECTING TUBE</t>
        </is>
      </c>
      <c r="B101" s="109" t="inlineStr">
        <is>
          <t>JU581006</t>
        </is>
      </c>
      <c r="C101" s="108" t="inlineStr">
        <is>
          <t>ضمن: منفولد</t>
        </is>
      </c>
      <c r="D101" s="109">
        <f>SUMIF('Car 1 - 00569'!$D$7:$D$300,$B101,'Car 1 - 00569'!$E$7:$E$300)+COUNTIFS('Car 1 - 00569'!$D$7:$D$300,$B101,'Car 1 - 00569'!$E$7:$E$300,"")</f>
        <v>0</v>
      </c>
      <c r="E101" s="109">
        <f>SUMIF('Car 2 - 01124'!$D$7:$D$300,$B101,'Car 2 - 01124'!$E$7:$E$300)+COUNTIFS('Car 2 - 01124'!$D$7:$D$300,$B101,'Car 2 - 01124'!$E$7:$E$300,"")</f>
        <v>0</v>
      </c>
      <c r="F101" s="109">
        <f>SUMIF('Car 3 - 00133'!$D$7:$D$300,$B101,'Car 3 - 00133'!$E$7:$E$300)+COUNTIFS('Car 3 - 00133'!$D$7:$D$300,$B101,'Car 3 - 00133'!$E$7:$E$300,"")</f>
        <v>0</v>
      </c>
      <c r="G101" s="109">
        <f>SUMIF('Car 4 - 00679'!$D$7:$D$300,$B101,'Car 4 - 00679'!$E$7:$E$300)+COUNTIFS('Car 4 - 00679'!$D$7:$D$300,$B101,'Car 4 - 00679'!$E$7:$E$300,"")</f>
        <v>0</v>
      </c>
      <c r="H101" s="109">
        <f>SUMIF('Car 5 - 00557'!$D$7:$D$300,$B101,'Car 5 - 00557'!$E$7:$E$300)+COUNTIFS('Car 5 - 00557'!$D$7:$D$300,$B101,'Car 5 - 00557'!$E$7:$E$300,"")</f>
        <v>1</v>
      </c>
      <c r="I101" s="109">
        <f>SUMIF('Car 6 - 00663'!$D$7:$D$300,$B101,'Car 6 - 00663'!$E$7:$E$300)+COUNTIFS('Car 6 - 00663'!$D$7:$D$300,$B101,'Car 6 - 00663'!$E$7:$E$300,"")</f>
        <v>0</v>
      </c>
      <c r="J101" s="109">
        <f>SUMIF('Car 7 - 00680'!$D$7:$D$300,$B101,'Car 7 - 00680'!$E$7:$E$300)+COUNTIFS('Car 7 - 00680'!$D$7:$D$300,$B101,'Car 7 - 00680'!$E$7:$E$300,"")</f>
        <v>0</v>
      </c>
      <c r="K101" s="109">
        <f>SUMIF('Car 8 - 00523'!$D$7:$D$300,$B101,'Car 8 - 00523'!$E$7:$E$300)+COUNTIFS('Car 8 - 00523'!$D$7:$D$300,$B101,'Car 8 - 00523'!$E$7:$E$300,"")</f>
        <v>0</v>
      </c>
      <c r="L101" s="109">
        <f>SUMIF('Car 9 - 00097'!$D$7:$D$300,$B101,'Car 9 - 00097'!$E$7:$E$300)+COUNTIFS('Car 9 - 00097'!$D$7:$D$300,$B101,'Car 9 - 00097'!$E$7:$E$300,"")</f>
        <v>1</v>
      </c>
      <c r="M101" s="109">
        <f>SUMIF('Car 10 - 01352'!$D$7:$D$300,$B101,'Car 10 - 01352'!$E$7:$E$300)+COUNTIFS('Car 10 - 01352'!$D$7:$D$300,$B101,'Car 10 - 01352'!$E$7:$E$300,"")</f>
        <v>0</v>
      </c>
      <c r="N101" s="109">
        <f>SUM(D101:M101)</f>
        <v>2</v>
      </c>
    </row>
    <row r="102">
      <c r="A102" s="108" t="inlineStr">
        <is>
          <t>BOLT FLANGED M10X1.25</t>
        </is>
      </c>
      <c r="B102" s="109" t="inlineStr">
        <is>
          <t>KADD10F0</t>
        </is>
      </c>
      <c r="C102" s="108" t="inlineStr">
        <is>
          <t>مسامير شكمان</t>
        </is>
      </c>
      <c r="D102" s="109">
        <f>SUMIF('Car 1 - 00569'!$D$7:$D$300,$B102,'Car 1 - 00569'!$E$7:$E$300)+COUNTIFS('Car 1 - 00569'!$D$7:$D$300,$B102,'Car 1 - 00569'!$E$7:$E$300,"")</f>
        <v>0</v>
      </c>
      <c r="E102" s="109">
        <f>SUMIF('Car 2 - 01124'!$D$7:$D$300,$B102,'Car 2 - 01124'!$E$7:$E$300)+COUNTIFS('Car 2 - 01124'!$D$7:$D$300,$B102,'Car 2 - 01124'!$E$7:$E$300,"")</f>
        <v>0</v>
      </c>
      <c r="F102" s="109">
        <f>SUMIF('Car 3 - 00133'!$D$7:$D$300,$B102,'Car 3 - 00133'!$E$7:$E$300)+COUNTIFS('Car 3 - 00133'!$D$7:$D$300,$B102,'Car 3 - 00133'!$E$7:$E$300,"")</f>
        <v>0</v>
      </c>
      <c r="G102" s="109">
        <f>SUMIF('Car 4 - 00679'!$D$7:$D$300,$B102,'Car 4 - 00679'!$E$7:$E$300)+COUNTIFS('Car 4 - 00679'!$D$7:$D$300,$B102,'Car 4 - 00679'!$E$7:$E$300,"")</f>
        <v>0</v>
      </c>
      <c r="H102" s="109">
        <f>SUMIF('Car 5 - 00557'!$D$7:$D$300,$B102,'Car 5 - 00557'!$E$7:$E$300)+COUNTIFS('Car 5 - 00557'!$D$7:$D$300,$B102,'Car 5 - 00557'!$E$7:$E$300,"")</f>
        <v>0</v>
      </c>
      <c r="I102" s="109">
        <f>SUMIF('Car 6 - 00663'!$D$7:$D$300,$B102,'Car 6 - 00663'!$E$7:$E$300)+COUNTIFS('Car 6 - 00663'!$D$7:$D$300,$B102,'Car 6 - 00663'!$E$7:$E$300,"")</f>
        <v>0</v>
      </c>
      <c r="J102" s="109">
        <f>SUMIF('Car 7 - 00680'!$D$7:$D$300,$B102,'Car 7 - 00680'!$E$7:$E$300)+COUNTIFS('Car 7 - 00680'!$D$7:$D$300,$B102,'Car 7 - 00680'!$E$7:$E$300,"")</f>
        <v>0</v>
      </c>
      <c r="K102" s="109">
        <f>SUMIF('Car 8 - 00523'!$D$7:$D$300,$B102,'Car 8 - 00523'!$E$7:$E$300)+COUNTIFS('Car 8 - 00523'!$D$7:$D$300,$B102,'Car 8 - 00523'!$E$7:$E$300,"")</f>
        <v>0</v>
      </c>
      <c r="L102" s="109">
        <f>SUMIF('Car 9 - 00097'!$D$7:$D$300,$B102,'Car 9 - 00097'!$E$7:$E$300)+COUNTIFS('Car 9 - 00097'!$D$7:$D$300,$B102,'Car 9 - 00097'!$E$7:$E$300,"")</f>
        <v>2</v>
      </c>
      <c r="M102" s="109">
        <f>SUMIF('Car 10 - 01352'!$D$7:$D$300,$B102,'Car 10 - 01352'!$E$7:$E$300)+COUNTIFS('Car 10 - 01352'!$D$7:$D$300,$B102,'Car 10 - 01352'!$E$7:$E$300,"")</f>
        <v>0</v>
      </c>
      <c r="N102" s="109">
        <f>SUM(D102:M102)</f>
        <v>2</v>
      </c>
    </row>
    <row r="103">
      <c r="A103" s="108" t="inlineStr">
        <is>
          <t>BOLT FLANGED M6X1</t>
        </is>
      </c>
      <c r="B103" s="109" t="inlineStr">
        <is>
          <t>KADT0612</t>
        </is>
      </c>
      <c r="C103" s="108" t="inlineStr">
        <is>
          <t>ضمن: افيز بطارية</t>
        </is>
      </c>
      <c r="D103" s="109">
        <f>SUMIF('Car 1 - 00569'!$D$7:$D$300,$B103,'Car 1 - 00569'!$E$7:$E$300)+COUNTIFS('Car 1 - 00569'!$D$7:$D$300,$B103,'Car 1 - 00569'!$E$7:$E$300,"")</f>
        <v>0</v>
      </c>
      <c r="E103" s="109">
        <f>SUMIF('Car 2 - 01124'!$D$7:$D$300,$B103,'Car 2 - 01124'!$E$7:$E$300)+COUNTIFS('Car 2 - 01124'!$D$7:$D$300,$B103,'Car 2 - 01124'!$E$7:$E$300,"")</f>
        <v>0</v>
      </c>
      <c r="F103" s="109">
        <f>SUMIF('Car 3 - 00133'!$D$7:$D$300,$B103,'Car 3 - 00133'!$E$7:$E$300)+COUNTIFS('Car 3 - 00133'!$D$7:$D$300,$B103,'Car 3 - 00133'!$E$7:$E$300,"")</f>
        <v>0</v>
      </c>
      <c r="G103" s="109">
        <f>SUMIF('Car 4 - 00679'!$D$7:$D$300,$B103,'Car 4 - 00679'!$E$7:$E$300)+COUNTIFS('Car 4 - 00679'!$D$7:$D$300,$B103,'Car 4 - 00679'!$E$7:$E$300,"")</f>
        <v>2</v>
      </c>
      <c r="H103" s="109">
        <f>SUMIF('Car 5 - 00557'!$D$7:$D$300,$B103,'Car 5 - 00557'!$E$7:$E$300)+COUNTIFS('Car 5 - 00557'!$D$7:$D$300,$B103,'Car 5 - 00557'!$E$7:$E$300,"")</f>
        <v>2</v>
      </c>
      <c r="I103" s="109">
        <f>SUMIF('Car 6 - 00663'!$D$7:$D$300,$B103,'Car 6 - 00663'!$E$7:$E$300)+COUNTIFS('Car 6 - 00663'!$D$7:$D$300,$B103,'Car 6 - 00663'!$E$7:$E$300,"")</f>
        <v>0</v>
      </c>
      <c r="J103" s="109">
        <f>SUMIF('Car 7 - 00680'!$D$7:$D$300,$B103,'Car 7 - 00680'!$E$7:$E$300)+COUNTIFS('Car 7 - 00680'!$D$7:$D$300,$B103,'Car 7 - 00680'!$E$7:$E$300,"")</f>
        <v>2</v>
      </c>
      <c r="K103" s="109">
        <f>SUMIF('Car 8 - 00523'!$D$7:$D$300,$B103,'Car 8 - 00523'!$E$7:$E$300)+COUNTIFS('Car 8 - 00523'!$D$7:$D$300,$B103,'Car 8 - 00523'!$E$7:$E$300,"")</f>
        <v>0</v>
      </c>
      <c r="L103" s="109">
        <f>SUMIF('Car 9 - 00097'!$D$7:$D$300,$B103,'Car 9 - 00097'!$E$7:$E$300)+COUNTIFS('Car 9 - 00097'!$D$7:$D$300,$B103,'Car 9 - 00097'!$E$7:$E$300,"")</f>
        <v>2</v>
      </c>
      <c r="M103" s="109">
        <f>SUMIF('Car 10 - 01352'!$D$7:$D$300,$B103,'Car 10 - 01352'!$E$7:$E$300)+COUNTIFS('Car 10 - 01352'!$D$7:$D$300,$B103,'Car 10 - 01352'!$E$7:$E$300,"")</f>
        <v>0</v>
      </c>
      <c r="N103" s="109">
        <f>SUM(D103:M103)</f>
        <v>8</v>
      </c>
    </row>
    <row r="104">
      <c r="A104" s="108" t="inlineStr">
        <is>
          <t>BOLT-FLANGE-KAE ST-D DIA-06 L-25</t>
        </is>
      </c>
      <c r="B104" s="109" t="inlineStr">
        <is>
          <t>KAED0625</t>
        </is>
      </c>
      <c r="C104" s="108" t="inlineStr">
        <is>
          <t>ضمن: رشاش بنزين</t>
        </is>
      </c>
      <c r="D104" s="109">
        <f>SUMIF('Car 1 - 00569'!$D$7:$D$300,$B104,'Car 1 - 00569'!$E$7:$E$300)+COUNTIFS('Car 1 - 00569'!$D$7:$D$300,$B104,'Car 1 - 00569'!$E$7:$E$300,"")</f>
        <v>0</v>
      </c>
      <c r="E104" s="109">
        <f>SUMIF('Car 2 - 01124'!$D$7:$D$300,$B104,'Car 2 - 01124'!$E$7:$E$300)+COUNTIFS('Car 2 - 01124'!$D$7:$D$300,$B104,'Car 2 - 01124'!$E$7:$E$300,"")</f>
        <v>0</v>
      </c>
      <c r="F104" s="109">
        <f>SUMIF('Car 3 - 00133'!$D$7:$D$300,$B104,'Car 3 - 00133'!$E$7:$E$300)+COUNTIFS('Car 3 - 00133'!$D$7:$D$300,$B104,'Car 3 - 00133'!$E$7:$E$300,"")</f>
        <v>0</v>
      </c>
      <c r="G104" s="109">
        <f>SUMIF('Car 4 - 00679'!$D$7:$D$300,$B104,'Car 4 - 00679'!$E$7:$E$300)+COUNTIFS('Car 4 - 00679'!$D$7:$D$300,$B104,'Car 4 - 00679'!$E$7:$E$300,"")</f>
        <v>0</v>
      </c>
      <c r="H104" s="109">
        <f>SUMIF('Car 5 - 00557'!$D$7:$D$300,$B104,'Car 5 - 00557'!$E$7:$E$300)+COUNTIFS('Car 5 - 00557'!$D$7:$D$300,$B104,'Car 5 - 00557'!$E$7:$E$300,"")</f>
        <v>2</v>
      </c>
      <c r="I104" s="109">
        <f>SUMIF('Car 6 - 00663'!$D$7:$D$300,$B104,'Car 6 - 00663'!$E$7:$E$300)+COUNTIFS('Car 6 - 00663'!$D$7:$D$300,$B104,'Car 6 - 00663'!$E$7:$E$300,"")</f>
        <v>0</v>
      </c>
      <c r="J104" s="109">
        <f>SUMIF('Car 7 - 00680'!$D$7:$D$300,$B104,'Car 7 - 00680'!$E$7:$E$300)+COUNTIFS('Car 7 - 00680'!$D$7:$D$300,$B104,'Car 7 - 00680'!$E$7:$E$300,"")</f>
        <v>0</v>
      </c>
      <c r="K104" s="109">
        <f>SUMIF('Car 8 - 00523'!$D$7:$D$300,$B104,'Car 8 - 00523'!$E$7:$E$300)+COUNTIFS('Car 8 - 00523'!$D$7:$D$300,$B104,'Car 8 - 00523'!$E$7:$E$300,"")</f>
        <v>0</v>
      </c>
      <c r="L104" s="109">
        <f>SUMIF('Car 9 - 00097'!$D$7:$D$300,$B104,'Car 9 - 00097'!$E$7:$E$300)+COUNTIFS('Car 9 - 00097'!$D$7:$D$300,$B104,'Car 9 - 00097'!$E$7:$E$300,"")</f>
        <v>2</v>
      </c>
      <c r="M104" s="109">
        <f>SUMIF('Car 10 - 01352'!$D$7:$D$300,$B104,'Car 10 - 01352'!$E$7:$E$300)+COUNTIFS('Car 10 - 01352'!$D$7:$D$300,$B104,'Car 10 - 01352'!$E$7:$E$300,"")</f>
        <v>0</v>
      </c>
      <c r="N104" s="109">
        <f>SUM(D104:M104)</f>
        <v>4</v>
      </c>
    </row>
    <row r="105">
      <c r="A105" s="108" t="inlineStr">
        <is>
          <t>NUT HEX FLANGED</t>
        </is>
      </c>
      <c r="B105" s="109" t="inlineStr">
        <is>
          <t>KCGD0606</t>
        </is>
      </c>
      <c r="C105" s="108" t="inlineStr">
        <is>
          <t>ضمن: افيز بطارية</t>
        </is>
      </c>
      <c r="D105" s="109">
        <f>SUMIF('Car 1 - 00569'!$D$7:$D$300,$B105,'Car 1 - 00569'!$E$7:$E$300)+COUNTIFS('Car 1 - 00569'!$D$7:$D$300,$B105,'Car 1 - 00569'!$E$7:$E$300,"")</f>
        <v>0</v>
      </c>
      <c r="E105" s="109">
        <f>SUMIF('Car 2 - 01124'!$D$7:$D$300,$B105,'Car 2 - 01124'!$E$7:$E$300)+COUNTIFS('Car 2 - 01124'!$D$7:$D$300,$B105,'Car 2 - 01124'!$E$7:$E$300,"")</f>
        <v>0</v>
      </c>
      <c r="F105" s="109">
        <f>SUMIF('Car 3 - 00133'!$D$7:$D$300,$B105,'Car 3 - 00133'!$E$7:$E$300)+COUNTIFS('Car 3 - 00133'!$D$7:$D$300,$B105,'Car 3 - 00133'!$E$7:$E$300,"")</f>
        <v>0</v>
      </c>
      <c r="G105" s="109">
        <f>SUMIF('Car 4 - 00679'!$D$7:$D$300,$B105,'Car 4 - 00679'!$E$7:$E$300)+COUNTIFS('Car 4 - 00679'!$D$7:$D$300,$B105,'Car 4 - 00679'!$E$7:$E$300,"")</f>
        <v>2</v>
      </c>
      <c r="H105" s="109">
        <f>SUMIF('Car 5 - 00557'!$D$7:$D$300,$B105,'Car 5 - 00557'!$E$7:$E$300)+COUNTIFS('Car 5 - 00557'!$D$7:$D$300,$B105,'Car 5 - 00557'!$E$7:$E$300,"")</f>
        <v>2</v>
      </c>
      <c r="I105" s="109">
        <f>SUMIF('Car 6 - 00663'!$D$7:$D$300,$B105,'Car 6 - 00663'!$E$7:$E$300)+COUNTIFS('Car 6 - 00663'!$D$7:$D$300,$B105,'Car 6 - 00663'!$E$7:$E$300,"")</f>
        <v>0</v>
      </c>
      <c r="J105" s="109">
        <f>SUMIF('Car 7 - 00680'!$D$7:$D$300,$B105,'Car 7 - 00680'!$E$7:$E$300)+COUNTIFS('Car 7 - 00680'!$D$7:$D$300,$B105,'Car 7 - 00680'!$E$7:$E$300,"")</f>
        <v>2</v>
      </c>
      <c r="K105" s="109">
        <f>SUMIF('Car 8 - 00523'!$D$7:$D$300,$B105,'Car 8 - 00523'!$E$7:$E$300)+COUNTIFS('Car 8 - 00523'!$D$7:$D$300,$B105,'Car 8 - 00523'!$E$7:$E$300,"")</f>
        <v>0</v>
      </c>
      <c r="L105" s="109">
        <f>SUMIF('Car 9 - 00097'!$D$7:$D$300,$B105,'Car 9 - 00097'!$E$7:$E$300)+COUNTIFS('Car 9 - 00097'!$D$7:$D$300,$B105,'Car 9 - 00097'!$E$7:$E$300,"")</f>
        <v>2</v>
      </c>
      <c r="M105" s="109">
        <f>SUMIF('Car 10 - 01352'!$D$7:$D$300,$B105,'Car 10 - 01352'!$E$7:$E$300)+COUNTIFS('Car 10 - 01352'!$D$7:$D$300,$B105,'Car 10 - 01352'!$E$7:$E$300,"")</f>
        <v>0</v>
      </c>
      <c r="N105" s="109">
        <f>SUM(D105:M105)</f>
        <v>8</v>
      </c>
    </row>
    <row r="106">
      <c r="A106" s="108" t="inlineStr">
        <is>
          <t>NUT HEX FLANGED</t>
        </is>
      </c>
      <c r="B106" s="109" t="inlineStr">
        <is>
          <t>KCGD1010</t>
        </is>
      </c>
      <c r="C106" s="108" t="inlineStr">
        <is>
          <t>ضمن: مسامير شكمان</t>
        </is>
      </c>
      <c r="D106" s="109">
        <f>SUMIF('Car 1 - 00569'!$D$7:$D$300,$B106,'Car 1 - 00569'!$E$7:$E$300)+COUNTIFS('Car 1 - 00569'!$D$7:$D$300,$B106,'Car 1 - 00569'!$E$7:$E$300,"")</f>
        <v>0</v>
      </c>
      <c r="E106" s="109">
        <f>SUMIF('Car 2 - 01124'!$D$7:$D$300,$B106,'Car 2 - 01124'!$E$7:$E$300)+COUNTIFS('Car 2 - 01124'!$D$7:$D$300,$B106,'Car 2 - 01124'!$E$7:$E$300,"")</f>
        <v>0</v>
      </c>
      <c r="F106" s="109">
        <f>SUMIF('Car 3 - 00133'!$D$7:$D$300,$B106,'Car 3 - 00133'!$E$7:$E$300)+COUNTIFS('Car 3 - 00133'!$D$7:$D$300,$B106,'Car 3 - 00133'!$E$7:$E$300,"")</f>
        <v>0</v>
      </c>
      <c r="G106" s="109">
        <f>SUMIF('Car 4 - 00679'!$D$7:$D$300,$B106,'Car 4 - 00679'!$E$7:$E$300)+COUNTIFS('Car 4 - 00679'!$D$7:$D$300,$B106,'Car 4 - 00679'!$E$7:$E$300,"")</f>
        <v>0</v>
      </c>
      <c r="H106" s="109">
        <f>SUMIF('Car 5 - 00557'!$D$7:$D$300,$B106,'Car 5 - 00557'!$E$7:$E$300)+COUNTIFS('Car 5 - 00557'!$D$7:$D$300,$B106,'Car 5 - 00557'!$E$7:$E$300,"")</f>
        <v>0</v>
      </c>
      <c r="I106" s="109">
        <f>SUMIF('Car 6 - 00663'!$D$7:$D$300,$B106,'Car 6 - 00663'!$E$7:$E$300)+COUNTIFS('Car 6 - 00663'!$D$7:$D$300,$B106,'Car 6 - 00663'!$E$7:$E$300,"")</f>
        <v>0</v>
      </c>
      <c r="J106" s="109">
        <f>SUMIF('Car 7 - 00680'!$D$7:$D$300,$B106,'Car 7 - 00680'!$E$7:$E$300)+COUNTIFS('Car 7 - 00680'!$D$7:$D$300,$B106,'Car 7 - 00680'!$E$7:$E$300,"")</f>
        <v>0</v>
      </c>
      <c r="K106" s="109">
        <f>SUMIF('Car 8 - 00523'!$D$7:$D$300,$B106,'Car 8 - 00523'!$E$7:$E$300)+COUNTIFS('Car 8 - 00523'!$D$7:$D$300,$B106,'Car 8 - 00523'!$E$7:$E$300,"")</f>
        <v>0</v>
      </c>
      <c r="L106" s="109">
        <f>SUMIF('Car 9 - 00097'!$D$7:$D$300,$B106,'Car 9 - 00097'!$E$7:$E$300)+COUNTIFS('Car 9 - 00097'!$D$7:$D$300,$B106,'Car 9 - 00097'!$E$7:$E$300,"")</f>
        <v>2</v>
      </c>
      <c r="M106" s="109">
        <f>SUMIF('Car 10 - 01352'!$D$7:$D$300,$B106,'Car 10 - 01352'!$E$7:$E$300)+COUNTIFS('Car 10 - 01352'!$D$7:$D$300,$B106,'Car 10 - 01352'!$E$7:$E$300,"")</f>
        <v>0</v>
      </c>
      <c r="N106" s="109">
        <f>SUM(D106:M106)</f>
        <v>2</v>
      </c>
    </row>
    <row r="107">
      <c r="A107" s="108" t="inlineStr">
        <is>
          <t>SCREW TAPING PAN CROS- ST3.5XL5.5</t>
        </is>
      </c>
      <c r="B107" s="109" t="inlineStr">
        <is>
          <t>LBR00001</t>
        </is>
      </c>
      <c r="C107" s="108" t="inlineStr">
        <is>
          <t>ضمن: قفل زجاج باب أمامي شمال</t>
        </is>
      </c>
      <c r="D107" s="109">
        <f>SUMIF('Car 1 - 00569'!$D$7:$D$300,$B107,'Car 1 - 00569'!$E$7:$E$300)+COUNTIFS('Car 1 - 00569'!$D$7:$D$300,$B107,'Car 1 - 00569'!$E$7:$E$300,"")</f>
        <v>0</v>
      </c>
      <c r="E107" s="109">
        <f>SUMIF('Car 2 - 01124'!$D$7:$D$300,$B107,'Car 2 - 01124'!$E$7:$E$300)+COUNTIFS('Car 2 - 01124'!$D$7:$D$300,$B107,'Car 2 - 01124'!$E$7:$E$300,"")</f>
        <v>0</v>
      </c>
      <c r="F107" s="109">
        <f>SUMIF('Car 3 - 00133'!$D$7:$D$300,$B107,'Car 3 - 00133'!$E$7:$E$300)+COUNTIFS('Car 3 - 00133'!$D$7:$D$300,$B107,'Car 3 - 00133'!$E$7:$E$300,"")</f>
        <v>0</v>
      </c>
      <c r="G107" s="109">
        <f>SUMIF('Car 4 - 00679'!$D$7:$D$300,$B107,'Car 4 - 00679'!$E$7:$E$300)+COUNTIFS('Car 4 - 00679'!$D$7:$D$300,$B107,'Car 4 - 00679'!$E$7:$E$300,"")</f>
        <v>0</v>
      </c>
      <c r="H107" s="109">
        <f>SUMIF('Car 5 - 00557'!$D$7:$D$300,$B107,'Car 5 - 00557'!$E$7:$E$300)+COUNTIFS('Car 5 - 00557'!$D$7:$D$300,$B107,'Car 5 - 00557'!$E$7:$E$300,"")</f>
        <v>0</v>
      </c>
      <c r="I107" s="109">
        <f>SUMIF('Car 6 - 00663'!$D$7:$D$300,$B107,'Car 6 - 00663'!$E$7:$E$300)+COUNTIFS('Car 6 - 00663'!$D$7:$D$300,$B107,'Car 6 - 00663'!$E$7:$E$300,"")</f>
        <v>0</v>
      </c>
      <c r="J107" s="109">
        <f>SUMIF('Car 7 - 00680'!$D$7:$D$300,$B107,'Car 7 - 00680'!$E$7:$E$300)+COUNTIFS('Car 7 - 00680'!$D$7:$D$300,$B107,'Car 7 - 00680'!$E$7:$E$300,"")</f>
        <v>0</v>
      </c>
      <c r="K107" s="109">
        <f>SUMIF('Car 8 - 00523'!$D$7:$D$300,$B107,'Car 8 - 00523'!$E$7:$E$300)+COUNTIFS('Car 8 - 00523'!$D$7:$D$300,$B107,'Car 8 - 00523'!$E$7:$E$300,"")</f>
        <v>8</v>
      </c>
      <c r="L107" s="109">
        <f>SUMIF('Car 9 - 00097'!$D$7:$D$300,$B107,'Car 9 - 00097'!$E$7:$E$300)+COUNTIFS('Car 9 - 00097'!$D$7:$D$300,$B107,'Car 9 - 00097'!$E$7:$E$300,"")</f>
        <v>0</v>
      </c>
      <c r="M107" s="109">
        <f>SUMIF('Car 10 - 01352'!$D$7:$D$300,$B107,'Car 10 - 01352'!$E$7:$E$300)+COUNTIFS('Car 10 - 01352'!$D$7:$D$300,$B107,'Car 10 - 01352'!$E$7:$E$300,"")</f>
        <v>0</v>
      </c>
      <c r="N107" s="109">
        <f>SUM(D107:M107)</f>
        <v>8</v>
      </c>
    </row>
    <row r="108">
      <c r="A108" s="110" t="inlineStr">
        <is>
          <t>Total Parts With Part No.</t>
        </is>
      </c>
      <c r="B108" s="111" t="n"/>
      <c r="C108" s="110" t="n"/>
      <c r="D108" s="111">
        <f>SUM(D16:D107)</f>
        <v>17</v>
      </c>
      <c r="E108" s="111">
        <f>SUM(E16:E107)</f>
        <v>22</v>
      </c>
      <c r="F108" s="111">
        <f>SUM(F16:F107)</f>
        <v>52</v>
      </c>
      <c r="G108" s="111">
        <f>SUM(G16:G107)</f>
        <v>15</v>
      </c>
      <c r="H108" s="111">
        <f>SUM(H16:H107)</f>
        <v>78</v>
      </c>
      <c r="I108" s="111">
        <f>SUM(I16:I107)</f>
        <v>2</v>
      </c>
      <c r="J108" s="111">
        <f>SUM(J16:J107)</f>
        <v>58</v>
      </c>
      <c r="K108" s="111">
        <f>SUM(K16:K107)</f>
        <v>21</v>
      </c>
      <c r="L108" s="111">
        <f>SUM(L16:L107)</f>
        <v>79</v>
      </c>
      <c r="M108" s="111">
        <f>SUM(M16:M107)</f>
        <v>25</v>
      </c>
      <c r="N108" s="111">
        <f>SUM(N16:N107)</f>
        <v>369</v>
      </c>
    </row>
    <row r="109">
      <c r="A109" s="103" t="n"/>
      <c r="B109" s="103" t="n"/>
      <c r="C109" s="103" t="n"/>
      <c r="D109" s="103" t="n"/>
      <c r="E109" s="103" t="n"/>
      <c r="F109" s="103" t="n"/>
      <c r="G109" s="103" t="n"/>
      <c r="H109" s="103" t="n"/>
      <c r="I109" s="103" t="n"/>
      <c r="J109" s="103" t="n"/>
      <c r="K109" s="103" t="n"/>
      <c r="L109" s="103" t="n"/>
      <c r="M109" s="103" t="n"/>
      <c r="N109" s="103" t="n"/>
    </row>
    <row r="110">
      <c r="A110" s="107" t="inlineStr">
        <is>
          <t>Parts Without a Part No. (count = quantity listed in each car)</t>
        </is>
      </c>
      <c r="B110" s="103" t="n"/>
      <c r="C110" s="103" t="n"/>
      <c r="D110" s="103" t="n"/>
      <c r="E110" s="103" t="n"/>
      <c r="F110" s="103" t="n"/>
      <c r="G110" s="103" t="n"/>
      <c r="H110" s="103" t="n"/>
      <c r="I110" s="103" t="n"/>
      <c r="J110" s="103" t="n"/>
      <c r="K110" s="103" t="n"/>
      <c r="L110" s="103" t="n"/>
      <c r="M110" s="103" t="n"/>
      <c r="N110" s="103" t="n"/>
    </row>
    <row r="111">
      <c r="A111" s="102" t="inlineStr">
        <is>
          <t>Part (Arabic)</t>
        </is>
      </c>
      <c r="B111" s="102" t="inlineStr">
        <is>
          <t>Part No.</t>
        </is>
      </c>
      <c r="C111" s="102" t="inlineStr">
        <is>
          <t>Note</t>
        </is>
      </c>
      <c r="D111" s="102" t="inlineStr">
        <is>
          <t>Car 1</t>
        </is>
      </c>
      <c r="E111" s="102" t="inlineStr">
        <is>
          <t>Car 2</t>
        </is>
      </c>
      <c r="F111" s="102" t="inlineStr">
        <is>
          <t>Car 3</t>
        </is>
      </c>
      <c r="G111" s="102" t="inlineStr">
        <is>
          <t>Car 4</t>
        </is>
      </c>
      <c r="H111" s="102" t="inlineStr">
        <is>
          <t>Car 5</t>
        </is>
      </c>
      <c r="I111" s="102" t="inlineStr">
        <is>
          <t>Car 6</t>
        </is>
      </c>
      <c r="J111" s="102" t="inlineStr">
        <is>
          <t>Car 7</t>
        </is>
      </c>
      <c r="K111" s="102" t="inlineStr">
        <is>
          <t>Car 8</t>
        </is>
      </c>
      <c r="L111" s="102" t="inlineStr">
        <is>
          <t>Car 9</t>
        </is>
      </c>
      <c r="M111" s="102" t="inlineStr">
        <is>
          <t>Car 10</t>
        </is>
      </c>
      <c r="N111" s="102" t="inlineStr">
        <is>
          <t>Total</t>
        </is>
      </c>
    </row>
    <row r="112">
      <c r="A112" s="112" t="inlineStr">
        <is>
          <t>حساس كلاكس</t>
        </is>
      </c>
      <c r="B112" s="113" t="inlineStr">
        <is>
          <t>No Part No.</t>
        </is>
      </c>
      <c r="C112" s="112" t="n"/>
      <c r="D112" s="113">
        <f>0</f>
        <v>0</v>
      </c>
      <c r="E112" s="113">
        <f>IF(LEN(TRIM('Car 2 - 01124'!B14))&gt;0,IF(ISNUMBER('Car 2 - 01124'!E14),'Car 2 - 01124'!E14,1),0)</f>
        <v>1</v>
      </c>
      <c r="F112" s="113">
        <f>0</f>
        <v>0</v>
      </c>
      <c r="G112" s="113">
        <f>0</f>
        <v>0</v>
      </c>
      <c r="H112" s="113">
        <f>0</f>
        <v>0</v>
      </c>
      <c r="I112" s="113">
        <f>0</f>
        <v>0</v>
      </c>
      <c r="J112" s="113">
        <f>0</f>
        <v>0</v>
      </c>
      <c r="K112" s="113">
        <f>0</f>
        <v>0</v>
      </c>
      <c r="L112" s="113">
        <f>0</f>
        <v>0</v>
      </c>
      <c r="M112" s="113">
        <f>IF(LEN(TRIM('Car 10 - 01352'!B19))&gt;0,IF(ISNUMBER('Car 10 - 01352'!E19),'Car 10 - 01352'!E19,1),0)</f>
        <v>1</v>
      </c>
      <c r="N112" s="113">
        <f>SUM(D112:M112)</f>
        <v>2</v>
      </c>
    </row>
    <row r="113">
      <c r="A113" s="112" t="inlineStr">
        <is>
          <t>فبرة مثلث خلفي يمين</t>
        </is>
      </c>
      <c r="B113" s="113" t="inlineStr">
        <is>
          <t>No Part No.</t>
        </is>
      </c>
      <c r="C113" s="112" t="n"/>
      <c r="D113" s="113">
        <f>0</f>
        <v>0</v>
      </c>
      <c r="E113" s="113">
        <f>IF(LEN(TRIM('Car 2 - 01124'!B16))&gt;0,IF(ISNUMBER('Car 2 - 01124'!E16),'Car 2 - 01124'!E16,1),0)</f>
        <v>1</v>
      </c>
      <c r="F113" s="113">
        <f>0</f>
        <v>0</v>
      </c>
      <c r="G113" s="113">
        <f>0</f>
        <v>0</v>
      </c>
      <c r="H113" s="113">
        <f>0</f>
        <v>0</v>
      </c>
      <c r="I113" s="113">
        <f>0</f>
        <v>0</v>
      </c>
      <c r="J113" s="113">
        <f>0</f>
        <v>0</v>
      </c>
      <c r="K113" s="113">
        <f>0</f>
        <v>0</v>
      </c>
      <c r="L113" s="113">
        <f>0</f>
        <v>0</v>
      </c>
      <c r="M113" s="113">
        <f>0</f>
        <v>0</v>
      </c>
      <c r="N113" s="113">
        <f>SUM(D113:M113)</f>
        <v>1</v>
      </c>
    </row>
    <row r="114">
      <c r="A114" s="112" t="inlineStr">
        <is>
          <t>فبرة مثلث يمين وشمال</t>
        </is>
      </c>
      <c r="B114" s="113" t="inlineStr">
        <is>
          <t>No Part No.</t>
        </is>
      </c>
      <c r="C114" s="112" t="n"/>
      <c r="D114" s="113">
        <f>0</f>
        <v>0</v>
      </c>
      <c r="E114" s="113">
        <f>0</f>
        <v>0</v>
      </c>
      <c r="F114" s="113">
        <f>0</f>
        <v>0</v>
      </c>
      <c r="G114" s="113">
        <f>0</f>
        <v>0</v>
      </c>
      <c r="H114" s="113">
        <f>0</f>
        <v>0</v>
      </c>
      <c r="I114" s="113">
        <f>0</f>
        <v>0</v>
      </c>
      <c r="J114" s="113">
        <f>0</f>
        <v>0</v>
      </c>
      <c r="K114" s="113">
        <f>0</f>
        <v>0</v>
      </c>
      <c r="L114" s="113">
        <f>0</f>
        <v>0</v>
      </c>
      <c r="M114" s="113">
        <f>IF(LEN(TRIM('Car 10 - 01352'!B29))&gt;0,IF(ISNUMBER('Car 10 - 01352'!E29),'Car 10 - 01352'!E29,1),0)</f>
        <v>1</v>
      </c>
      <c r="N114" s="113">
        <f>SUM(D114:M114)</f>
        <v>1</v>
      </c>
    </row>
    <row r="115">
      <c r="A115" s="112" t="inlineStr">
        <is>
          <t>عتبة يمين</t>
        </is>
      </c>
      <c r="B115" s="113" t="inlineStr">
        <is>
          <t>No Part No.</t>
        </is>
      </c>
      <c r="C115" s="112" t="n"/>
      <c r="D115" s="113">
        <f>0</f>
        <v>0</v>
      </c>
      <c r="E115" s="113">
        <f>0</f>
        <v>0</v>
      </c>
      <c r="F115" s="113">
        <f>0</f>
        <v>0</v>
      </c>
      <c r="G115" s="113">
        <f>0</f>
        <v>0</v>
      </c>
      <c r="H115" s="113">
        <f>IF(LEN(TRIM('Car 5 - 00557'!B11))&gt;0,IF(ISNUMBER('Car 5 - 00557'!E11),'Car 5 - 00557'!E11,1),0)</f>
        <v>1</v>
      </c>
      <c r="I115" s="113">
        <f>0</f>
        <v>0</v>
      </c>
      <c r="J115" s="113">
        <f>0</f>
        <v>0</v>
      </c>
      <c r="K115" s="113">
        <f>0</f>
        <v>0</v>
      </c>
      <c r="L115" s="113">
        <f>0</f>
        <v>0</v>
      </c>
      <c r="M115" s="113">
        <f>IF(LEN(TRIM('Car 10 - 01352'!B16))&gt;0,IF(ISNUMBER('Car 10 - 01352'!E16),'Car 10 - 01352'!E16,1),0)</f>
        <v>1</v>
      </c>
      <c r="N115" s="113">
        <f>SUM(D115:M115)</f>
        <v>2</v>
      </c>
    </row>
    <row r="116">
      <c r="A116" s="112" t="inlineStr">
        <is>
          <t>عتبة شمال</t>
        </is>
      </c>
      <c r="B116" s="113" t="inlineStr">
        <is>
          <t>No Part No.</t>
        </is>
      </c>
      <c r="C116" s="112" t="n"/>
      <c r="D116" s="113">
        <f>0</f>
        <v>0</v>
      </c>
      <c r="E116" s="113">
        <f>IF(LEN(TRIM('Car 2 - 01124'!B11))&gt;0,IF(ISNUMBER('Car 2 - 01124'!E11),'Car 2 - 01124'!E11,1),0)</f>
        <v>1</v>
      </c>
      <c r="F116" s="113">
        <f>0</f>
        <v>0</v>
      </c>
      <c r="G116" s="113">
        <f>0</f>
        <v>0</v>
      </c>
      <c r="H116" s="113">
        <f>IF(LEN(TRIM('Car 5 - 00557'!B12))&gt;0,IF(ISNUMBER('Car 5 - 00557'!E12),'Car 5 - 00557'!E12,1),0)</f>
        <v>1</v>
      </c>
      <c r="I116" s="113">
        <f>0</f>
        <v>0</v>
      </c>
      <c r="J116" s="113">
        <f>0</f>
        <v>0</v>
      </c>
      <c r="K116" s="113">
        <f>0</f>
        <v>0</v>
      </c>
      <c r="L116" s="113">
        <f>0</f>
        <v>0</v>
      </c>
      <c r="M116" s="113">
        <f>IF(LEN(TRIM('Car 10 - 01352'!B17))&gt;0,IF(ISNUMBER('Car 10 - 01352'!E17),'Car 10 - 01352'!E17,1),0)</f>
        <v>1</v>
      </c>
      <c r="N116" s="113">
        <f>SUM(D116:M116)</f>
        <v>3</v>
      </c>
    </row>
    <row r="117">
      <c r="A117" s="112" t="inlineStr">
        <is>
          <t>شبكة علوية</t>
        </is>
      </c>
      <c r="B117" s="113" t="inlineStr">
        <is>
          <t>No Part No.</t>
        </is>
      </c>
      <c r="C117" s="112" t="inlineStr">
        <is>
          <t>Under repair</t>
        </is>
      </c>
      <c r="D117" s="113">
        <f>0</f>
        <v>0</v>
      </c>
      <c r="E117" s="113">
        <f>IF(LEN(TRIM('Car 2 - 01124'!B36))&gt;0,IF(ISNUMBER('Car 2 - 01124'!E36),'Car 2 - 01124'!E36,1),0)</f>
        <v>1</v>
      </c>
      <c r="F117" s="113">
        <f>0</f>
        <v>0</v>
      </c>
      <c r="G117" s="113">
        <f>0</f>
        <v>0</v>
      </c>
      <c r="H117" s="113">
        <f>IF(LEN(TRIM('Car 5 - 00557'!B61))&gt;0,IF(ISNUMBER('Car 5 - 00557'!E61),'Car 5 - 00557'!E61,1),0)</f>
        <v>1</v>
      </c>
      <c r="I117" s="113">
        <f>0</f>
        <v>0</v>
      </c>
      <c r="J117" s="113">
        <f>0</f>
        <v>0</v>
      </c>
      <c r="K117" s="113">
        <f>0</f>
        <v>0</v>
      </c>
      <c r="L117" s="113">
        <f>IF(LEN(TRIM('Car 9 - 00097'!B68))&gt;0,IF(ISNUMBER('Car 9 - 00097'!E68),'Car 9 - 00097'!E68,1),0)</f>
        <v>1</v>
      </c>
      <c r="M117" s="113">
        <f>IF(LEN(TRIM('Car 10 - 01352'!B41))&gt;0,IF(ISNUMBER('Car 10 - 01352'!E41),'Car 10 - 01352'!E41,1),0)</f>
        <v>1</v>
      </c>
      <c r="N117" s="113">
        <f>SUM(D117:M117)</f>
        <v>4</v>
      </c>
    </row>
    <row r="118">
      <c r="A118" s="112" t="inlineStr">
        <is>
          <t>حامل نمرة</t>
        </is>
      </c>
      <c r="B118" s="113" t="inlineStr">
        <is>
          <t>No Part No.</t>
        </is>
      </c>
      <c r="C118" s="112" t="n"/>
      <c r="D118" s="113">
        <f>0</f>
        <v>0</v>
      </c>
      <c r="E118" s="113">
        <f>0</f>
        <v>0</v>
      </c>
      <c r="F118" s="113">
        <f>0</f>
        <v>0</v>
      </c>
      <c r="G118" s="113">
        <f>IF(LEN(TRIM('Car 4 - 00679'!B22))&gt;0,IF(ISNUMBER('Car 4 - 00679'!E22),'Car 4 - 00679'!E22,1),0)</f>
        <v>1</v>
      </c>
      <c r="H118" s="113">
        <f>0</f>
        <v>0</v>
      </c>
      <c r="I118" s="113">
        <f>0</f>
        <v>0</v>
      </c>
      <c r="J118" s="113">
        <f>0</f>
        <v>0</v>
      </c>
      <c r="K118" s="113">
        <f>0</f>
        <v>0</v>
      </c>
      <c r="L118" s="113">
        <f>0</f>
        <v>0</v>
      </c>
      <c r="M118" s="113">
        <f>IF(LEN(TRIM('Car 10 - 01352'!B15))&gt;0,IF(ISNUMBER('Car 10 - 01352'!E15),'Car 10 - 01352'!E15,1),0)</f>
        <v>1</v>
      </c>
      <c r="N118" s="113">
        <f>SUM(D118:M118)</f>
        <v>2</v>
      </c>
    </row>
    <row r="119">
      <c r="A119" s="112" t="inlineStr">
        <is>
          <t>كاتم صوت فلتر الهواء (فبرة)</t>
        </is>
      </c>
      <c r="B119" s="113" t="inlineStr">
        <is>
          <t>No Part No.</t>
        </is>
      </c>
      <c r="C119" s="112" t="inlineStr">
        <is>
          <t>Broken</t>
        </is>
      </c>
      <c r="D119" s="113">
        <f>0</f>
        <v>0</v>
      </c>
      <c r="E119" s="113">
        <f>IF(LEN(TRIM('Car 2 - 01124'!B31))&gt;0,IF(ISNUMBER('Car 2 - 01124'!E31),'Car 2 - 01124'!E31,1),0)</f>
        <v>1</v>
      </c>
      <c r="F119" s="113">
        <f>0</f>
        <v>0</v>
      </c>
      <c r="G119" s="113">
        <f>0</f>
        <v>0</v>
      </c>
      <c r="H119" s="113">
        <f>0</f>
        <v>0</v>
      </c>
      <c r="I119" s="113">
        <f>0</f>
        <v>0</v>
      </c>
      <c r="J119" s="113">
        <f>0</f>
        <v>0</v>
      </c>
      <c r="K119" s="113">
        <f>0</f>
        <v>0</v>
      </c>
      <c r="L119" s="113">
        <f>IF(LEN(TRIM('Car 9 - 00097'!B39))&gt;0,IF(ISNUMBER('Car 9 - 00097'!E39),'Car 9 - 00097'!E39,1),0)</f>
        <v>1</v>
      </c>
      <c r="M119" s="113">
        <f>0</f>
        <v>0</v>
      </c>
      <c r="N119" s="113">
        <f>SUM(D119:M119)</f>
        <v>2</v>
      </c>
    </row>
    <row r="120">
      <c r="A120" s="108" t="inlineStr">
        <is>
          <t>كالون باب أمامي يمين</t>
        </is>
      </c>
      <c r="B120" s="109" t="inlineStr">
        <is>
          <t>No Part No.</t>
        </is>
      </c>
      <c r="C120" s="108" t="n"/>
      <c r="D120" s="109">
        <f>IF(LEN(TRIM('Car 1 - 00569'!B9))&gt;0,IF(ISNUMBER('Car 1 - 00569'!E9),'Car 1 - 00569'!E9,1),0)</f>
        <v>1</v>
      </c>
      <c r="E120" s="109">
        <f>0</f>
        <v>0</v>
      </c>
      <c r="F120" s="109">
        <f>IF(LEN(TRIM('Car 3 - 00133'!B27))&gt;0,IF(ISNUMBER('Car 3 - 00133'!E27),'Car 3 - 00133'!E27,1),0)</f>
        <v>1</v>
      </c>
      <c r="G120" s="109">
        <f>IF(LEN(TRIM('Car 4 - 00679'!B11))&gt;0,IF(ISNUMBER('Car 4 - 00679'!E11),'Car 4 - 00679'!E11,1),0)</f>
        <v>1</v>
      </c>
      <c r="H120" s="109">
        <f>0</f>
        <v>0</v>
      </c>
      <c r="I120" s="109">
        <f>0</f>
        <v>0</v>
      </c>
      <c r="J120" s="109">
        <f>IF(LEN(TRIM('Car 7 - 00680'!B24))&gt;0,IF(ISNUMBER('Car 7 - 00680'!E24),'Car 7 - 00680'!E24,1),0)</f>
        <v>1</v>
      </c>
      <c r="K120" s="109">
        <f>0</f>
        <v>0</v>
      </c>
      <c r="L120" s="109">
        <f>IF(LEN(TRIM('Car 9 - 00097'!B12))&gt;0,IF(ISNUMBER('Car 9 - 00097'!E12),'Car 9 - 00097'!E12,1),0)</f>
        <v>1</v>
      </c>
      <c r="M120" s="109">
        <f>0</f>
        <v>0</v>
      </c>
      <c r="N120" s="109">
        <f>SUM(D120:M120)</f>
        <v>5</v>
      </c>
    </row>
    <row r="121">
      <c r="A121" s="108" t="inlineStr">
        <is>
          <t>كالون باب أمامي شمال</t>
        </is>
      </c>
      <c r="B121" s="109" t="inlineStr">
        <is>
          <t>No Part No.</t>
        </is>
      </c>
      <c r="C121" s="108" t="n"/>
      <c r="D121" s="109">
        <f>0</f>
        <v>0</v>
      </c>
      <c r="E121" s="109">
        <f>0</f>
        <v>0</v>
      </c>
      <c r="F121" s="109">
        <f>0</f>
        <v>0</v>
      </c>
      <c r="G121" s="109">
        <f>0</f>
        <v>0</v>
      </c>
      <c r="H121" s="109">
        <f>IF(LEN(TRIM('Car 5 - 00557'!B30))&gt;0,IF(ISNUMBER('Car 5 - 00557'!E30),'Car 5 - 00557'!E30,1),0)</f>
        <v>1</v>
      </c>
      <c r="I121" s="109">
        <f>0</f>
        <v>0</v>
      </c>
      <c r="J121" s="109">
        <f>0</f>
        <v>0</v>
      </c>
      <c r="K121" s="109">
        <f>0</f>
        <v>0</v>
      </c>
      <c r="L121" s="109">
        <f>0</f>
        <v>0</v>
      </c>
      <c r="M121" s="109">
        <f>0</f>
        <v>0</v>
      </c>
      <c r="N121" s="109">
        <f>SUM(D121:M121)</f>
        <v>1</v>
      </c>
    </row>
    <row r="122">
      <c r="A122" s="108" t="inlineStr">
        <is>
          <t>كالون باب خلفي يمين</t>
        </is>
      </c>
      <c r="B122" s="109" t="inlineStr">
        <is>
          <t>No Part No.</t>
        </is>
      </c>
      <c r="C122" s="108" t="n"/>
      <c r="D122" s="109">
        <f>IF(LEN(TRIM('Car 1 - 00569'!B10))&gt;0,IF(ISNUMBER('Car 1 - 00569'!E10),'Car 1 - 00569'!E10,1),0)</f>
        <v>1</v>
      </c>
      <c r="E122" s="109">
        <f>0</f>
        <v>0</v>
      </c>
      <c r="F122" s="109">
        <f>IF(LEN(TRIM('Car 3 - 00133'!B28))&gt;0,IF(ISNUMBER('Car 3 - 00133'!E28),'Car 3 - 00133'!E28,1),0)</f>
        <v>1</v>
      </c>
      <c r="G122" s="109">
        <f>0</f>
        <v>0</v>
      </c>
      <c r="H122" s="109">
        <f>0</f>
        <v>0</v>
      </c>
      <c r="I122" s="109">
        <f>IF(LEN(TRIM('Car 6 - 00663'!B8))&gt;0,IF(ISNUMBER('Car 6 - 00663'!E8),'Car 6 - 00663'!E8,1),0)</f>
        <v>1</v>
      </c>
      <c r="J122" s="109">
        <f>IF(LEN(TRIM('Car 7 - 00680'!B28))&gt;0,IF(ISNUMBER('Car 7 - 00680'!E28),'Car 7 - 00680'!E28,1),0)</f>
        <v>1</v>
      </c>
      <c r="K122" s="109">
        <f>IF(LEN(TRIM('Car 8 - 00523'!B14))&gt;0,IF(ISNUMBER('Car 8 - 00523'!E14),'Car 8 - 00523'!E14,1),0)</f>
        <v>1</v>
      </c>
      <c r="L122" s="109">
        <f>0</f>
        <v>0</v>
      </c>
      <c r="M122" s="109">
        <f>0</f>
        <v>0</v>
      </c>
      <c r="N122" s="109">
        <f>SUM(D122:M122)</f>
        <v>5</v>
      </c>
    </row>
    <row r="123" ht="33" customHeight="1" s="29">
      <c r="A123" s="108" t="inlineStr">
        <is>
          <t>زجاج أمامي (مكسور)</t>
        </is>
      </c>
      <c r="B123" s="109" t="inlineStr">
        <is>
          <t>No Part No.</t>
        </is>
      </c>
      <c r="C123" s="108" t="inlineStr">
        <is>
          <t>Broken - glass was delivered to the factory</t>
        </is>
      </c>
      <c r="D123" s="109">
        <f>0</f>
        <v>0</v>
      </c>
      <c r="E123" s="109">
        <f>IF(LEN(TRIM('Car 2 - 01124'!B9))&gt;0,IF(ISNUMBER('Car 2 - 01124'!E9),'Car 2 - 01124'!E9,1),0)</f>
        <v>1</v>
      </c>
      <c r="F123" s="109">
        <f>0</f>
        <v>0</v>
      </c>
      <c r="G123" s="109">
        <f>0</f>
        <v>0</v>
      </c>
      <c r="H123" s="109">
        <f>0</f>
        <v>0</v>
      </c>
      <c r="I123" s="109">
        <f>0</f>
        <v>0</v>
      </c>
      <c r="J123" s="109">
        <f>0</f>
        <v>0</v>
      </c>
      <c r="K123" s="109">
        <f>0</f>
        <v>0</v>
      </c>
      <c r="L123" s="109">
        <f>0</f>
        <v>0</v>
      </c>
      <c r="M123" s="109">
        <f>0</f>
        <v>0</v>
      </c>
      <c r="N123" s="109">
        <f>SUM(D123:M123)</f>
        <v>1</v>
      </c>
    </row>
    <row r="124">
      <c r="A124" s="108" t="inlineStr">
        <is>
          <t>براكيت شالتة خلفي</t>
        </is>
      </c>
      <c r="B124" s="109" t="inlineStr">
        <is>
          <t>No Part No.</t>
        </is>
      </c>
      <c r="C124" s="108" t="inlineStr">
        <is>
          <t>عمولة</t>
        </is>
      </c>
      <c r="D124" s="109">
        <f>0</f>
        <v>0</v>
      </c>
      <c r="E124" s="109">
        <f>0</f>
        <v>0</v>
      </c>
      <c r="F124" s="109">
        <f>0</f>
        <v>0</v>
      </c>
      <c r="G124" s="109">
        <f>0</f>
        <v>0</v>
      </c>
      <c r="H124" s="109">
        <f>0</f>
        <v>0</v>
      </c>
      <c r="I124" s="109">
        <f>0</f>
        <v>0</v>
      </c>
      <c r="J124" s="109">
        <f>IF(LEN(TRIM('Car 7 - 00680'!B33))&gt;0,IF(ISNUMBER('Car 7 - 00680'!E33),'Car 7 - 00680'!E33,1),0)</f>
        <v>2</v>
      </c>
      <c r="K124" s="109">
        <f>0</f>
        <v>0</v>
      </c>
      <c r="L124" s="109">
        <f>0</f>
        <v>0</v>
      </c>
      <c r="M124" s="109">
        <f>0</f>
        <v>0</v>
      </c>
      <c r="N124" s="109">
        <f>SUM(D124:M124)</f>
        <v>2</v>
      </c>
    </row>
    <row r="125">
      <c r="A125" s="110" t="inlineStr">
        <is>
          <t>Total Parts Without a Part No.</t>
        </is>
      </c>
      <c r="B125" s="111" t="n"/>
      <c r="C125" s="110" t="n"/>
      <c r="D125" s="111">
        <f>SUM(D112:D124)</f>
        <v>2</v>
      </c>
      <c r="E125" s="111">
        <f>SUM(E112:E124)</f>
        <v>6</v>
      </c>
      <c r="F125" s="111">
        <f>SUM(F112:F124)</f>
        <v>2</v>
      </c>
      <c r="G125" s="111">
        <f>SUM(G112:G124)</f>
        <v>2</v>
      </c>
      <c r="H125" s="111">
        <f>SUM(H112:H124)</f>
        <v>4</v>
      </c>
      <c r="I125" s="111">
        <f>SUM(I112:I124)</f>
        <v>1</v>
      </c>
      <c r="J125" s="111">
        <f>SUM(J112:J124)</f>
        <v>4</v>
      </c>
      <c r="K125" s="111">
        <f>SUM(K112:K124)</f>
        <v>1</v>
      </c>
      <c r="L125" s="111">
        <f>SUM(L112:L124)</f>
        <v>3</v>
      </c>
      <c r="M125" s="111">
        <f>SUM(M112:M124)</f>
        <v>6</v>
      </c>
      <c r="N125" s="111">
        <f>SUM(N112:N124)</f>
        <v>31</v>
      </c>
    </row>
    <row r="126">
      <c r="A126" s="103" t="n"/>
      <c r="B126" s="103" t="n"/>
      <c r="C126" s="103" t="n"/>
      <c r="D126" s="103" t="n"/>
      <c r="E126" s="103" t="n"/>
      <c r="F126" s="103" t="n"/>
      <c r="G126" s="103" t="n"/>
      <c r="H126" s="103" t="n"/>
      <c r="I126" s="103" t="n"/>
      <c r="J126" s="103" t="n"/>
      <c r="K126" s="103" t="n"/>
      <c r="L126" s="103" t="n"/>
      <c r="M126" s="103" t="n"/>
      <c r="N126" s="103" t="n"/>
    </row>
    <row r="127">
      <c r="A127" s="110" t="inlineStr">
        <is>
          <t>Grand Total - All Required Parts</t>
        </is>
      </c>
      <c r="B127" s="111" t="n"/>
      <c r="C127" s="110" t="n"/>
      <c r="D127" s="111">
        <f>D108+D125</f>
        <v>19</v>
      </c>
      <c r="E127" s="111">
        <f>E108+E125</f>
        <v>28</v>
      </c>
      <c r="F127" s="111">
        <f>F108+F125</f>
        <v>54</v>
      </c>
      <c r="G127" s="111">
        <f>G108+G125</f>
        <v>17</v>
      </c>
      <c r="H127" s="111">
        <f>H108+H125</f>
        <v>82</v>
      </c>
      <c r="I127" s="111">
        <f>I108+I125</f>
        <v>3</v>
      </c>
      <c r="J127" s="111">
        <f>J108+J125</f>
        <v>62</v>
      </c>
      <c r="K127" s="111">
        <f>K108+K125</f>
        <v>22</v>
      </c>
      <c r="L127" s="111">
        <f>L108+L125</f>
        <v>82</v>
      </c>
      <c r="M127" s="111">
        <f>M108+M125</f>
        <v>31</v>
      </c>
      <c r="N127" s="111">
        <f>N108+N125</f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rightToLeft="0" tabSelected="0" zoomScale="70" zoomScaleNormal="70" workbookViewId="0">
      <pane ySplit="6" topLeftCell="A7" activePane="bottomLeft" state="frozen"/>
      <selection activeCell="A1" sqref="A1"/>
      <selection pane="bottomLeft" activeCell="A7" sqref="A7"/>
    </sheetView>
  </sheetViews>
  <sheetFormatPr baseColWidth="8" defaultColWidth="8.7109375" defaultRowHeight="15"/>
  <cols>
    <col width="20" customWidth="1" style="29" min="1" max="1"/>
    <col width="58" customWidth="1" style="29" min="2" max="2"/>
    <col width="52" customWidth="1" style="29" min="3" max="3"/>
    <col width="28.140625" customWidth="1" style="29" min="4" max="4"/>
    <col width="12.140625" customWidth="1" style="29" min="5" max="5"/>
  </cols>
  <sheetData>
    <row r="1">
      <c r="A1" s="114" t="inlineStr">
        <is>
          <t>Chassis No.</t>
        </is>
      </c>
      <c r="B1" s="108" t="inlineStr">
        <is>
          <t>MD2A68CX5TWb00569</t>
        </is>
      </c>
      <c r="C1" s="103" t="n"/>
      <c r="D1" s="103" t="n"/>
      <c r="E1" s="103" t="n"/>
    </row>
    <row r="2">
      <c r="A2" s="114" t="inlineStr">
        <is>
          <t>Engine No.</t>
        </is>
      </c>
      <c r="B2" s="108" t="inlineStr">
        <is>
          <t>BFXWTB23429</t>
        </is>
      </c>
      <c r="C2" s="103" t="n"/>
      <c r="D2" s="103" t="n"/>
      <c r="E2" s="103" t="n"/>
    </row>
    <row r="3">
      <c r="A3" s="114" t="inlineStr">
        <is>
          <t>Operating Status</t>
        </is>
      </c>
      <c r="B3" s="108" t="n"/>
      <c r="C3" s="103" t="n"/>
      <c r="D3" s="103" t="n"/>
      <c r="E3" s="103" t="n"/>
    </row>
    <row r="4">
      <c r="A4" s="114" t="inlineStr">
        <is>
          <t>Date</t>
        </is>
      </c>
      <c r="B4" s="108" t="inlineStr">
        <is>
          <t>25/10/2026</t>
        </is>
      </c>
      <c r="C4" s="103" t="n"/>
      <c r="D4" s="103" t="n"/>
      <c r="E4" s="103" t="n"/>
    </row>
    <row r="5">
      <c r="A5" s="115" t="inlineStr">
        <is>
          <t>Color</t>
        </is>
      </c>
      <c r="B5" s="116" t="inlineStr">
        <is>
          <t>White</t>
        </is>
      </c>
      <c r="C5" s="103" t="n"/>
      <c r="D5" s="103" t="n"/>
      <c r="E5" s="103" t="n"/>
    </row>
    <row r="6">
      <c r="A6" s="102" t="inlineStr">
        <is>
          <t>No.</t>
        </is>
      </c>
      <c r="B6" s="102" t="inlineStr">
        <is>
          <t>Missing Part (Arabic)</t>
        </is>
      </c>
      <c r="C6" s="102" t="inlineStr">
        <is>
          <t>Part Name</t>
        </is>
      </c>
      <c r="D6" s="102" t="inlineStr">
        <is>
          <t>Part No.</t>
        </is>
      </c>
      <c r="E6" s="102" t="inlineStr">
        <is>
          <t>Quantity</t>
        </is>
      </c>
    </row>
    <row r="7">
      <c r="A7" s="105" t="n">
        <v>1</v>
      </c>
      <c r="B7" s="108" t="inlineStr">
        <is>
          <t>كابترة أمامي يمين علوية</t>
        </is>
      </c>
      <c r="C7" s="108" t="inlineStr">
        <is>
          <t>GUARD SPLASH FRONT RH UPPER</t>
        </is>
      </c>
      <c r="D7" s="105" t="inlineStr">
        <is>
          <t>BF185025</t>
        </is>
      </c>
      <c r="E7" s="105" t="n">
        <v>1</v>
      </c>
    </row>
    <row r="8">
      <c r="A8" s="117" t="n">
        <v>2</v>
      </c>
      <c r="B8" s="118" t="inlineStr">
        <is>
          <t>غطاء عجل</t>
        </is>
      </c>
      <c r="C8" s="118" t="inlineStr">
        <is>
          <t>HUB CAP - STEEL WHEEL</t>
        </is>
      </c>
      <c r="D8" s="117" t="inlineStr">
        <is>
          <t>BF131505</t>
        </is>
      </c>
      <c r="E8" s="117" t="n">
        <v>2</v>
      </c>
    </row>
    <row r="9">
      <c r="A9" s="119" t="n">
        <v>3</v>
      </c>
      <c r="B9" s="120" t="inlineStr">
        <is>
          <t>كالون باب أمامي يمين</t>
        </is>
      </c>
      <c r="C9" s="120" t="n"/>
      <c r="D9" s="119" t="n"/>
      <c r="E9" s="119" t="n"/>
    </row>
    <row r="10">
      <c r="A10" s="119" t="n">
        <v>4</v>
      </c>
      <c r="B10" s="120" t="inlineStr">
        <is>
          <t>كالون باب خلفي يمين</t>
        </is>
      </c>
      <c r="C10" s="120" t="n"/>
      <c r="D10" s="119" t="n"/>
      <c r="E10" s="119" t="n"/>
    </row>
    <row r="11">
      <c r="A11" s="105" t="n">
        <v>5</v>
      </c>
      <c r="B11" s="108" t="inlineStr">
        <is>
          <t>فبرة زجاج باب أمامي يمين سفليه</t>
        </is>
      </c>
      <c r="C11" s="108" t="inlineStr">
        <is>
          <t>COVER SLIDING FRT DOOR BTM RH</t>
        </is>
      </c>
      <c r="D11" s="105" t="inlineStr">
        <is>
          <t>BF243074</t>
        </is>
      </c>
      <c r="E11" s="105" t="n">
        <v>1</v>
      </c>
    </row>
    <row r="12">
      <c r="A12" s="105" t="n">
        <v>6</v>
      </c>
      <c r="B12" s="108" t="inlineStr">
        <is>
          <t>فبرة درج باب أمامي يمين</t>
        </is>
      </c>
      <c r="C12" s="108" t="inlineStr">
        <is>
          <t>DOOR TRIM PANEL FRONT RH</t>
        </is>
      </c>
      <c r="D12" s="105" t="inlineStr">
        <is>
          <t>BF182403</t>
        </is>
      </c>
      <c r="E12" s="105" t="n">
        <v>1</v>
      </c>
    </row>
    <row r="13">
      <c r="A13" s="117" t="n">
        <v>7</v>
      </c>
      <c r="B13" s="118" t="inlineStr">
        <is>
          <t>كلبسات فبرة زجاج</t>
        </is>
      </c>
      <c r="C13" s="118" t="inlineStr">
        <is>
          <t>CLIP</t>
        </is>
      </c>
      <c r="D13" s="117" t="inlineStr">
        <is>
          <t>BF241152</t>
        </is>
      </c>
      <c r="E13" s="117" t="n">
        <v>8</v>
      </c>
    </row>
    <row r="14">
      <c r="A14" s="117" t="n">
        <v>8</v>
      </c>
      <c r="B14" s="118" t="inlineStr">
        <is>
          <t>طقم مراوح خلفي</t>
        </is>
      </c>
      <c r="C14" s="121" t="inlineStr">
        <is>
          <t>FAN ASSEMBLY REAR</t>
        </is>
      </c>
      <c r="D14" s="121" t="inlineStr">
        <is>
          <t>BF253490</t>
        </is>
      </c>
      <c r="E14" s="117" t="n">
        <v>1</v>
      </c>
    </row>
    <row r="15">
      <c r="A15" s="117" t="n">
        <v>9</v>
      </c>
      <c r="B15" s="118" t="inlineStr">
        <is>
          <t>جبل باب ماتور</t>
        </is>
      </c>
      <c r="C15" s="121" t="inlineStr">
        <is>
          <t>STRING ENGINE ACC COVER STOPPER</t>
        </is>
      </c>
      <c r="D15" s="121" t="inlineStr">
        <is>
          <t>BF244009</t>
        </is>
      </c>
      <c r="E15" s="117" t="n">
        <v>2</v>
      </c>
    </row>
    <row r="16">
      <c r="A16" s="105" t="n">
        <v>10</v>
      </c>
      <c r="B16" s="122" t="inlineStr">
        <is>
          <t>مروحة أمامى</t>
        </is>
      </c>
      <c r="C16" s="121" t="inlineStr">
        <is>
          <t>FAN ASSEMBLY FRONT</t>
        </is>
      </c>
      <c r="D16" s="121" t="inlineStr">
        <is>
          <t>BF253489</t>
        </is>
      </c>
      <c r="E16" s="105" t="n">
        <v>1</v>
      </c>
    </row>
  </sheetData>
  <conditionalFormatting sqref="D16">
    <cfRule type="duplicateValues" priority="2" dxfId="0"/>
  </conditionalFormatting>
  <conditionalFormatting sqref="D15">
    <cfRule type="duplicateValues" priority="3" dxfId="0"/>
  </conditionalFormatting>
  <conditionalFormatting sqref="D14">
    <cfRule type="duplicateValues" priority="4" dxfId="0"/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rightToLeft="0" tabSelected="0" zoomScale="70" zoomScaleNormal="70" workbookViewId="0">
      <pane ySplit="7" topLeftCell="A8" activePane="bottomLeft" state="frozen"/>
      <selection activeCell="A1" sqref="A1"/>
      <selection pane="bottomLeft" activeCell="A8" sqref="A8"/>
    </sheetView>
  </sheetViews>
  <sheetFormatPr baseColWidth="8" defaultColWidth="8.7109375" defaultRowHeight="15"/>
  <cols>
    <col width="20" customWidth="1" style="29" min="1" max="1"/>
    <col width="58" customWidth="1" style="29" min="2" max="2"/>
    <col width="52" customWidth="1" style="29" min="3" max="3"/>
    <col width="16" customWidth="1" style="29" min="4" max="4"/>
    <col width="12" customWidth="1" style="29" min="5" max="5"/>
    <col width="26.7109375" customWidth="1" style="29" min="6" max="6"/>
  </cols>
  <sheetData>
    <row r="1">
      <c r="A1" s="114" t="inlineStr">
        <is>
          <t>Chassis No.</t>
        </is>
      </c>
      <c r="B1" s="108" t="inlineStr">
        <is>
          <t>MD2A68CX5TWK01124</t>
        </is>
      </c>
      <c r="C1" s="103" t="n"/>
      <c r="D1" s="103" t="n"/>
      <c r="E1" s="103" t="n"/>
    </row>
    <row r="2">
      <c r="A2" s="114" t="inlineStr">
        <is>
          <t>Engine No.</t>
        </is>
      </c>
      <c r="B2" s="108" t="n"/>
      <c r="C2" s="103" t="n"/>
      <c r="D2" s="103" t="n"/>
      <c r="E2" s="103" t="n"/>
    </row>
    <row r="3">
      <c r="A3" s="114" t="inlineStr">
        <is>
          <t>Operating Status</t>
        </is>
      </c>
      <c r="B3" s="108" t="inlineStr">
        <is>
          <t>Accident - at the bodywork and paint shop</t>
        </is>
      </c>
      <c r="C3" s="103" t="n"/>
      <c r="D3" s="103" t="n"/>
      <c r="E3" s="103" t="n"/>
    </row>
    <row r="4">
      <c r="A4" s="114" t="inlineStr">
        <is>
          <t>Date</t>
        </is>
      </c>
      <c r="B4" s="108" t="inlineStr">
        <is>
          <t>25/10/2026</t>
        </is>
      </c>
      <c r="C4" s="103" t="n"/>
      <c r="D4" s="103" t="n"/>
      <c r="E4" s="103" t="n"/>
    </row>
    <row r="5">
      <c r="A5" s="114" t="inlineStr">
        <is>
          <t>Color</t>
        </is>
      </c>
      <c r="B5" s="108" t="inlineStr">
        <is>
          <t>Red</t>
        </is>
      </c>
      <c r="C5" s="103" t="n"/>
      <c r="D5" s="103" t="n"/>
      <c r="E5" s="103" t="n"/>
    </row>
    <row r="6">
      <c r="A6" s="103" t="n"/>
      <c r="B6" s="103" t="n"/>
      <c r="C6" s="103" t="n"/>
      <c r="D6" s="103" t="n"/>
      <c r="E6" s="103" t="n"/>
    </row>
    <row r="7">
      <c r="A7" s="102" t="inlineStr">
        <is>
          <t>No.</t>
        </is>
      </c>
      <c r="B7" s="102" t="inlineStr">
        <is>
          <t>Missing Part (Arabic)</t>
        </is>
      </c>
      <c r="C7" s="102" t="inlineStr">
        <is>
          <t>Part Name</t>
        </is>
      </c>
      <c r="D7" s="102" t="inlineStr">
        <is>
          <t>Part No.</t>
        </is>
      </c>
      <c r="E7" s="102" t="inlineStr">
        <is>
          <t>Quantity</t>
        </is>
      </c>
    </row>
    <row r="8" ht="28.5" customHeight="1" s="29">
      <c r="A8" s="117" t="n">
        <v>1</v>
      </c>
      <c r="B8" s="118" t="inlineStr">
        <is>
          <t>فانوس أمامي يمين</t>
        </is>
      </c>
      <c r="C8" s="123" t="inlineStr">
        <is>
          <t>HEAD LAMP RH ASYM BEAM LHD 60 55W</t>
        </is>
      </c>
      <c r="D8" s="117" t="inlineStr">
        <is>
          <t>BF401136</t>
        </is>
      </c>
      <c r="E8" s="103" t="n">
        <v>1</v>
      </c>
    </row>
    <row r="9" ht="33" customHeight="1" s="29">
      <c r="A9" s="105" t="n">
        <v>2</v>
      </c>
      <c r="B9" s="108" t="inlineStr">
        <is>
          <t>زجاج أمامي</t>
        </is>
      </c>
      <c r="C9" s="108" t="inlineStr">
        <is>
          <t>Broken (another glass was delivered to the factory, c/o Eng. Naseem)</t>
        </is>
      </c>
      <c r="D9" s="105" t="n"/>
      <c r="E9" s="103" t="n"/>
    </row>
    <row r="10">
      <c r="A10" s="105" t="n">
        <v>3</v>
      </c>
      <c r="B10" s="108" t="inlineStr">
        <is>
          <t>اكصدام أمامي</t>
        </is>
      </c>
      <c r="C10" s="108" t="inlineStr">
        <is>
          <t>BUMPER FRONT</t>
        </is>
      </c>
      <c r="D10" s="105" t="inlineStr">
        <is>
          <t>BF182006</t>
        </is>
      </c>
      <c r="E10" s="103" t="n">
        <v>1</v>
      </c>
    </row>
    <row r="11" ht="217.5" customHeight="1" s="29">
      <c r="A11" s="105" t="n">
        <v>4</v>
      </c>
      <c r="B11" s="124" t="inlineStr">
        <is>
          <t>عتبة أمامي شمال</t>
        </is>
      </c>
      <c r="C11" s="124" t="n"/>
      <c r="D11" s="125" t="n"/>
      <c r="E11" s="126" t="n"/>
    </row>
    <row r="12">
      <c r="A12" s="105" t="n">
        <v>5</v>
      </c>
      <c r="B12" s="108" t="inlineStr">
        <is>
          <t>طبة عتبة يمين</t>
        </is>
      </c>
      <c r="C12" s="121" t="inlineStr">
        <is>
          <t>CAP TR ARM MOUNTING RH</t>
        </is>
      </c>
      <c r="D12" s="121" t="inlineStr">
        <is>
          <t>BF185011</t>
        </is>
      </c>
      <c r="E12" s="103" t="n">
        <v>1</v>
      </c>
    </row>
    <row r="13">
      <c r="A13" s="117" t="n">
        <v>6</v>
      </c>
      <c r="B13" s="118" t="inlineStr">
        <is>
          <t>ولاعه</t>
        </is>
      </c>
      <c r="C13" s="118" t="inlineStr">
        <is>
          <t>CHARGER MOBILE</t>
        </is>
      </c>
      <c r="D13" s="117" t="inlineStr">
        <is>
          <t>AL201100</t>
        </is>
      </c>
      <c r="E13" s="103" t="n">
        <v>1</v>
      </c>
    </row>
    <row r="14">
      <c r="A14" s="117" t="n">
        <v>7</v>
      </c>
      <c r="B14" s="112" t="inlineStr">
        <is>
          <t>حساس كلاكس</t>
        </is>
      </c>
      <c r="C14" s="112" t="n"/>
      <c r="D14" s="127" t="n"/>
      <c r="E14" s="128" t="n"/>
    </row>
    <row r="15">
      <c r="A15" s="117" t="n"/>
      <c r="B15" s="112" t="inlineStr">
        <is>
          <t>كاسيت</t>
        </is>
      </c>
      <c r="C15" s="112" t="n"/>
      <c r="D15" s="127" t="n"/>
      <c r="E15" s="128" t="n"/>
    </row>
    <row r="16" ht="172.5" customHeight="1" s="29">
      <c r="A16" s="105" t="n">
        <v>8</v>
      </c>
      <c r="B16" s="112" t="inlineStr">
        <is>
          <t>فبرة مثلث خلفي يمين</t>
        </is>
      </c>
      <c r="C16" s="112" t="n"/>
      <c r="D16" s="127" t="n"/>
      <c r="E16" s="128" t="n"/>
    </row>
    <row r="17" ht="28.5" customHeight="1" s="29">
      <c r="A17" s="105" t="n">
        <v>9</v>
      </c>
      <c r="B17" s="108" t="inlineStr">
        <is>
          <t>فانوس خلفي شمال</t>
        </is>
      </c>
      <c r="C17" s="123" t="inlineStr">
        <is>
          <t>ASSEMBLY 4WH TAIL LAMP LH 16W</t>
        </is>
      </c>
      <c r="D17" s="105" t="inlineStr">
        <is>
          <t>BF401139</t>
        </is>
      </c>
      <c r="E17" s="103" t="n">
        <v>1</v>
      </c>
    </row>
    <row r="18">
      <c r="A18" s="105" t="n">
        <v>10</v>
      </c>
      <c r="B18" s="108" t="inlineStr">
        <is>
          <t>شالتة خلفي</t>
        </is>
      </c>
      <c r="C18" s="129" t="inlineStr">
        <is>
          <t>CUSHION ASSEMBLY-SEAT- REAR</t>
        </is>
      </c>
      <c r="D18" s="105" t="inlineStr">
        <is>
          <t>BF191207</t>
        </is>
      </c>
      <c r="E18" s="103" t="n">
        <v>1</v>
      </c>
    </row>
    <row r="19">
      <c r="A19" s="105" t="n">
        <v>11</v>
      </c>
      <c r="B19" s="108" t="inlineStr">
        <is>
          <t>شاسيه كرسي السائق</t>
        </is>
      </c>
      <c r="C19" s="129" t="inlineStr">
        <is>
          <t>ASSEMBLY SEAT DRIVER</t>
        </is>
      </c>
      <c r="D19" s="105" t="inlineStr">
        <is>
          <t>BF191175</t>
        </is>
      </c>
      <c r="E19" s="103" t="n">
        <v>1</v>
      </c>
    </row>
    <row r="20">
      <c r="A20" s="105" t="n">
        <v>12</v>
      </c>
      <c r="B20" s="108" t="inlineStr">
        <is>
          <t>فبرة كونسولة</t>
        </is>
      </c>
      <c r="C20" s="130" t="inlineStr">
        <is>
          <t>COVER MIDDLE UPPER CNG</t>
        </is>
      </c>
      <c r="D20" s="121" t="inlineStr">
        <is>
          <t>BF182588</t>
        </is>
      </c>
      <c r="E20" s="103" t="n">
        <v>1</v>
      </c>
    </row>
    <row r="21">
      <c r="A21" s="105" t="n"/>
      <c r="B21" s="121" t="inlineStr">
        <is>
          <t>فيبرة حزام خلفى يمين</t>
        </is>
      </c>
      <c r="C21" s="130" t="inlineStr">
        <is>
          <t>SEAT BELT ELR REAR COVER RH</t>
        </is>
      </c>
      <c r="D21" s="121" t="inlineStr">
        <is>
          <t>BF182624</t>
        </is>
      </c>
      <c r="E21" s="103" t="n">
        <v>1</v>
      </c>
    </row>
    <row r="22">
      <c r="A22" s="105" t="n"/>
      <c r="B22" s="121" t="inlineStr">
        <is>
          <t>فيبرة حزام خلفى شمال</t>
        </is>
      </c>
      <c r="C22" s="130" t="inlineStr">
        <is>
          <t>SEAT BELT ELR REAR COVER LH</t>
        </is>
      </c>
      <c r="D22" s="121" t="inlineStr">
        <is>
          <t>BF182625</t>
        </is>
      </c>
      <c r="E22" s="103" t="n">
        <v>1</v>
      </c>
    </row>
    <row r="23">
      <c r="A23" s="105" t="n"/>
      <c r="B23" s="108" t="inlineStr">
        <is>
          <t>طقم حزام خلفي</t>
        </is>
      </c>
      <c r="C23" s="130" t="inlineStr">
        <is>
          <t>BELT ASSEMBLY SEAT REAR</t>
        </is>
      </c>
      <c r="D23" s="121" t="inlineStr">
        <is>
          <t>BF182635</t>
        </is>
      </c>
      <c r="E23" s="103" t="n">
        <v>1</v>
      </c>
    </row>
    <row r="24">
      <c r="A24" s="105" t="n">
        <v>13</v>
      </c>
      <c r="B24" s="108" t="inlineStr">
        <is>
          <t>طقم حزام أمامي</t>
        </is>
      </c>
      <c r="C24" s="130" t="inlineStr">
        <is>
          <t>BELT ASSEMBLY SEAT FRONT</t>
        </is>
      </c>
      <c r="D24" s="121" t="inlineStr">
        <is>
          <t>BF182634</t>
        </is>
      </c>
      <c r="E24" s="103" t="n">
        <v>1</v>
      </c>
    </row>
    <row r="25">
      <c r="A25" s="105" t="n"/>
      <c r="B25" s="118" t="inlineStr">
        <is>
          <t>جوان جانب خارجي</t>
        </is>
      </c>
      <c r="C25" s="131" t="inlineStr">
        <is>
          <t>GUIDE CHNL BEADING FRT FRT</t>
        </is>
      </c>
      <c r="D25" s="132" t="inlineStr">
        <is>
          <t>BF243092</t>
        </is>
      </c>
      <c r="E25" s="103" t="n">
        <v>1</v>
      </c>
    </row>
    <row r="26">
      <c r="A26" s="105" t="n"/>
      <c r="B26" s="108" t="n"/>
      <c r="C26" s="131" t="inlineStr">
        <is>
          <t>BEADING CHANNEL L = 300</t>
        </is>
      </c>
      <c r="D26" s="132" t="inlineStr">
        <is>
          <t>BF243113</t>
        </is>
      </c>
      <c r="E26" s="103" t="n">
        <v>1</v>
      </c>
    </row>
    <row r="27">
      <c r="A27" s="117" t="n">
        <v>14</v>
      </c>
      <c r="B27" s="103" t="n"/>
      <c r="C27" s="123" t="inlineStr">
        <is>
          <t>BEADING CHANNEL SLIDING</t>
        </is>
      </c>
      <c r="D27" s="117" t="inlineStr">
        <is>
          <t>BF243096</t>
        </is>
      </c>
      <c r="E27" s="103" t="n">
        <v>1</v>
      </c>
    </row>
    <row r="28" ht="28.5" customHeight="1" s="29">
      <c r="A28" s="105" t="n">
        <v>15</v>
      </c>
      <c r="B28" s="108" t="inlineStr">
        <is>
          <t>فبرة زجاج باب أمامي يمين سفليه</t>
        </is>
      </c>
      <c r="C28" s="108" t="inlineStr">
        <is>
          <t>COVER SLIDING FRT DOOR BTM RH</t>
        </is>
      </c>
      <c r="D28" s="105" t="inlineStr">
        <is>
          <t>BF243074</t>
        </is>
      </c>
      <c r="E28" s="105" t="n">
        <v>1</v>
      </c>
    </row>
    <row r="29">
      <c r="A29" s="105" t="n">
        <v>16</v>
      </c>
      <c r="B29" s="108" t="inlineStr">
        <is>
          <t>مرايا يمين</t>
        </is>
      </c>
      <c r="C29" s="121" t="inlineStr">
        <is>
          <t>ORVM RH</t>
        </is>
      </c>
      <c r="D29" s="121" t="inlineStr">
        <is>
          <t>BF184638</t>
        </is>
      </c>
      <c r="E29" s="103" t="n">
        <v>1</v>
      </c>
    </row>
    <row r="30" ht="26.25" customHeight="1" s="29">
      <c r="A30" s="105" t="n">
        <v>17</v>
      </c>
      <c r="B30" s="108" t="inlineStr">
        <is>
          <t>باب خلفي يمين + فريم + زجاج + جوانة + فبرة زجاج</t>
        </is>
      </c>
      <c r="C30" s="133" t="inlineStr">
        <is>
          <t>ASSEMBLY REAR DOOR COMP RH WHITE</t>
        </is>
      </c>
      <c r="D30" s="103" t="inlineStr">
        <is>
          <t>52BF0102</t>
        </is>
      </c>
      <c r="E30" s="103" t="n">
        <v>1</v>
      </c>
    </row>
    <row r="31" ht="135" customHeight="1" s="29">
      <c r="A31" s="117" t="n">
        <v>18</v>
      </c>
      <c r="B31" s="134" t="inlineStr">
        <is>
          <t>فبرة كاتم فلتر هواء</t>
        </is>
      </c>
      <c r="C31" s="134" t="inlineStr">
        <is>
          <t>Broken</t>
        </is>
      </c>
      <c r="D31" s="135" t="n"/>
      <c r="E31" s="126" t="n"/>
    </row>
    <row r="32">
      <c r="A32" s="117" t="n">
        <v>19</v>
      </c>
      <c r="B32" s="118" t="inlineStr">
        <is>
          <t>مرايا صالون</t>
        </is>
      </c>
      <c r="C32" s="118" t="inlineStr">
        <is>
          <t>IRVM</t>
        </is>
      </c>
      <c r="D32" s="117" t="inlineStr">
        <is>
          <t>BF184620</t>
        </is>
      </c>
      <c r="E32" s="103" t="n">
        <v>1</v>
      </c>
    </row>
    <row r="33">
      <c r="A33" s="105" t="n">
        <v>20</v>
      </c>
      <c r="B33" s="108" t="inlineStr">
        <is>
          <t>فريم زجاج خلفي</t>
        </is>
      </c>
      <c r="C33" s="108" t="inlineStr">
        <is>
          <t>GLASS TAILGATE</t>
        </is>
      </c>
      <c r="D33" s="105" t="inlineStr">
        <is>
          <t>BF186029</t>
        </is>
      </c>
      <c r="E33" s="103" t="n">
        <v>1</v>
      </c>
    </row>
    <row r="34">
      <c r="A34" s="117" t="n">
        <v>21</v>
      </c>
      <c r="B34" s="118" t="inlineStr">
        <is>
          <t>فانوس ماتور</t>
        </is>
      </c>
      <c r="C34" s="121" t="inlineStr">
        <is>
          <t>LAMP (LIGHT) ASSEMBLY - CABIN</t>
        </is>
      </c>
      <c r="D34" s="121" t="inlineStr">
        <is>
          <t>AL201039</t>
        </is>
      </c>
      <c r="E34" s="103" t="n">
        <v>1</v>
      </c>
    </row>
    <row r="35">
      <c r="A35" s="117" t="n">
        <v>22</v>
      </c>
      <c r="B35" s="118" t="inlineStr">
        <is>
          <t>غطاء عجل</t>
        </is>
      </c>
      <c r="C35" s="118" t="inlineStr">
        <is>
          <t>HUB CAP - STEEL WHEEL</t>
        </is>
      </c>
      <c r="D35" s="117" t="inlineStr">
        <is>
          <t>BF131505</t>
        </is>
      </c>
      <c r="E35" s="103" t="n">
        <v>1</v>
      </c>
    </row>
    <row r="36">
      <c r="A36" s="105" t="n">
        <v>23</v>
      </c>
      <c r="B36" s="112" t="inlineStr">
        <is>
          <t>شبكة علوية</t>
        </is>
      </c>
      <c r="C36" s="112" t="inlineStr">
        <is>
          <t>Under repair</t>
        </is>
      </c>
      <c r="D36" s="127" t="n"/>
      <c r="E36" s="103" t="n">
        <v>1</v>
      </c>
    </row>
  </sheetData>
  <conditionalFormatting sqref="D34">
    <cfRule type="duplicateValues" priority="2" dxfId="0"/>
  </conditionalFormatting>
  <conditionalFormatting sqref="D29">
    <cfRule type="duplicateValues" priority="3" dxfId="0"/>
  </conditionalFormatting>
  <conditionalFormatting sqref="D21:D22">
    <cfRule type="duplicateValues" priority="4" dxfId="0"/>
  </conditionalFormatting>
  <conditionalFormatting sqref="D24:D26">
    <cfRule type="duplicateValues" priority="5" dxfId="0"/>
  </conditionalFormatting>
  <conditionalFormatting sqref="D23">
    <cfRule type="duplicateValues" priority="6" dxfId="0"/>
  </conditionalFormatting>
  <conditionalFormatting sqref="D20">
    <cfRule type="duplicateValues" priority="7" dxfId="0"/>
  </conditionalFormatting>
  <conditionalFormatting sqref="D12">
    <cfRule type="duplicateValues" priority="8" dxfId="0"/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rightToLeft="0" tabSelected="0" zoomScale="60" zoomScaleNormal="60" workbookViewId="0">
      <pane ySplit="7" topLeftCell="A8" activePane="bottomLeft" state="frozen"/>
      <selection activeCell="A1" sqref="A1"/>
      <selection pane="bottomLeft" activeCell="A8" sqref="A8"/>
    </sheetView>
  </sheetViews>
  <sheetFormatPr baseColWidth="8" defaultColWidth="8.7109375" defaultRowHeight="15"/>
  <cols>
    <col width="20" customWidth="1" style="29" min="1" max="1"/>
    <col width="58" customWidth="1" style="29" min="2" max="2"/>
    <col width="52" customWidth="1" style="29" min="3" max="3"/>
    <col width="16" customWidth="1" style="29" min="4" max="4"/>
    <col width="12.140625" customWidth="1" style="29" min="5" max="5"/>
  </cols>
  <sheetData>
    <row r="1">
      <c r="A1" s="114" t="inlineStr">
        <is>
          <t>Chassis No.</t>
        </is>
      </c>
      <c r="B1" s="108" t="inlineStr">
        <is>
          <t>MD2A68CX4TWM00133</t>
        </is>
      </c>
      <c r="C1" s="103" t="n"/>
      <c r="D1" s="103" t="n"/>
      <c r="E1" s="103" t="n"/>
    </row>
    <row r="2">
      <c r="A2" s="114" t="inlineStr">
        <is>
          <t>Engine No.</t>
        </is>
      </c>
      <c r="B2" s="108" t="inlineStr">
        <is>
          <t>BXXWTM21238</t>
        </is>
      </c>
      <c r="C2" s="103" t="n"/>
      <c r="D2" s="103" t="n"/>
      <c r="E2" s="103" t="n"/>
    </row>
    <row r="3">
      <c r="A3" s="114" t="inlineStr">
        <is>
          <t>Operating Status</t>
        </is>
      </c>
      <c r="B3" s="108" t="inlineStr">
        <is>
          <t>Not running - needs ECU inspection</t>
        </is>
      </c>
      <c r="C3" s="103" t="n"/>
      <c r="D3" s="103" t="n"/>
      <c r="E3" s="103" t="n"/>
    </row>
    <row r="4">
      <c r="A4" s="114" t="inlineStr">
        <is>
          <t>Date</t>
        </is>
      </c>
      <c r="B4" s="108" t="inlineStr">
        <is>
          <t>25/10/2026</t>
        </is>
      </c>
      <c r="C4" s="103" t="n"/>
      <c r="D4" s="103" t="n"/>
      <c r="E4" s="103" t="n"/>
    </row>
    <row r="5">
      <c r="A5" s="114" t="inlineStr">
        <is>
          <t>Color</t>
        </is>
      </c>
      <c r="B5" s="108" t="inlineStr">
        <is>
          <t>Yellow</t>
        </is>
      </c>
      <c r="C5" s="103" t="n"/>
      <c r="D5" s="103" t="n"/>
      <c r="E5" s="103" t="n"/>
    </row>
    <row r="6">
      <c r="A6" s="103" t="n"/>
      <c r="B6" s="103" t="n"/>
      <c r="C6" s="103" t="n"/>
      <c r="D6" s="103" t="n"/>
      <c r="E6" s="103" t="n"/>
    </row>
    <row r="7">
      <c r="A7" s="102" t="inlineStr">
        <is>
          <t>No.</t>
        </is>
      </c>
      <c r="B7" s="102" t="inlineStr">
        <is>
          <t>Missing Part (Arabic)</t>
        </is>
      </c>
      <c r="C7" s="102" t="inlineStr">
        <is>
          <t>Part Name</t>
        </is>
      </c>
      <c r="D7" s="102" t="inlineStr">
        <is>
          <t>Part No.</t>
        </is>
      </c>
      <c r="E7" s="102" t="inlineStr">
        <is>
          <t>Quantity</t>
        </is>
      </c>
    </row>
    <row r="8">
      <c r="A8" s="105" t="n">
        <v>1</v>
      </c>
      <c r="B8" s="108" t="inlineStr">
        <is>
          <t>دلاية أمامي شمال</t>
        </is>
      </c>
      <c r="C8" s="121" t="inlineStr">
        <is>
          <t>MUDFLAP FRONT LH</t>
        </is>
      </c>
      <c r="D8" s="121" t="inlineStr">
        <is>
          <t>BF185072</t>
        </is>
      </c>
      <c r="E8" s="103" t="n">
        <v>1</v>
      </c>
    </row>
    <row r="9" ht="33" customHeight="1" s="29">
      <c r="A9" s="105" t="n"/>
      <c r="B9" s="108" t="inlineStr">
        <is>
          <t>زجاج باب أمامي شمال + فريم كامل + جوانات باب + لوك + فبرة زجاج</t>
        </is>
      </c>
      <c r="C9" s="132" t="inlineStr">
        <is>
          <t>FRAME DOOR FRONT LH</t>
        </is>
      </c>
      <c r="D9" s="132" t="inlineStr">
        <is>
          <t>BF243085</t>
        </is>
      </c>
      <c r="E9" s="103" t="n">
        <v>1</v>
      </c>
    </row>
    <row r="10">
      <c r="A10" s="105" t="n"/>
      <c r="B10" s="108" t="n"/>
      <c r="C10" s="132" t="inlineStr">
        <is>
          <t>BEADING FRONT LH LOWER</t>
        </is>
      </c>
      <c r="D10" s="132" t="inlineStr">
        <is>
          <t>BF243091</t>
        </is>
      </c>
      <c r="E10" s="103" t="n">
        <v>1</v>
      </c>
    </row>
    <row r="11">
      <c r="A11" s="105" t="n"/>
      <c r="B11" s="108" t="n"/>
      <c r="C11" s="132" t="inlineStr">
        <is>
          <t>GUIDE CHNL BEADING RR FRT</t>
        </is>
      </c>
      <c r="D11" s="132" t="inlineStr">
        <is>
          <t>BF243093</t>
        </is>
      </c>
      <c r="E11" s="103" t="n">
        <v>2</v>
      </c>
    </row>
    <row r="12">
      <c r="A12" s="105" t="n"/>
      <c r="B12" s="108" t="n"/>
      <c r="C12" s="131" t="inlineStr">
        <is>
          <t>ED COATED DOOR FRAME- FRT LH-BF243085</t>
        </is>
      </c>
      <c r="D12" s="132" t="inlineStr">
        <is>
          <t>52BF0689</t>
        </is>
      </c>
      <c r="E12" s="103" t="n">
        <v>1</v>
      </c>
    </row>
    <row r="13">
      <c r="A13" s="105" t="n"/>
      <c r="B13" s="108" t="n"/>
      <c r="C13" s="131" t="inlineStr">
        <is>
          <t>ASSLY CHANNEL QTR GLS MTG LH PAINT-BLACK</t>
        </is>
      </c>
      <c r="D13" s="132" t="inlineStr">
        <is>
          <t>56BF3R22</t>
        </is>
      </c>
      <c r="E13" s="103" t="n">
        <v>1</v>
      </c>
    </row>
    <row r="14">
      <c r="A14" s="105" t="n"/>
      <c r="B14" s="108" t="n"/>
      <c r="C14" s="131" t="inlineStr">
        <is>
          <t>CHANNEL GLASS DOOR FR LOWER LH</t>
        </is>
      </c>
      <c r="D14" s="132" t="inlineStr">
        <is>
          <t>BF243058</t>
        </is>
      </c>
      <c r="E14" s="103" t="n">
        <v>1</v>
      </c>
    </row>
    <row r="15">
      <c r="A15" s="105" t="n"/>
      <c r="B15" s="108" t="n"/>
      <c r="C15" s="131" t="inlineStr">
        <is>
          <t>COVER SLIDING FRT DOOR BTM LH</t>
        </is>
      </c>
      <c r="D15" s="132" t="inlineStr">
        <is>
          <t>BF243073</t>
        </is>
      </c>
      <c r="E15" s="103" t="n">
        <v>1</v>
      </c>
    </row>
    <row r="16">
      <c r="A16" s="105" t="n"/>
      <c r="B16" s="108" t="n"/>
      <c r="C16" s="136" t="inlineStr">
        <is>
          <t>LOCK RE60 SLIDING GLASS</t>
        </is>
      </c>
      <c r="D16" s="132" t="inlineStr">
        <is>
          <t>BF243066</t>
        </is>
      </c>
      <c r="E16" s="103" t="n">
        <v>2</v>
      </c>
    </row>
    <row r="17">
      <c r="A17" s="105" t="n"/>
      <c r="B17" s="108" t="n"/>
      <c r="C17" s="131" t="inlineStr">
        <is>
          <t>LATCH FRONT DOOR-REAR GLASS-LH</t>
        </is>
      </c>
      <c r="D17" s="132" t="inlineStr">
        <is>
          <t>BF243102</t>
        </is>
      </c>
      <c r="E17" s="103" t="n">
        <v>1</v>
      </c>
    </row>
    <row r="18">
      <c r="A18" s="105" t="n"/>
      <c r="B18" s="108" t="n"/>
      <c r="C18" s="131" t="inlineStr">
        <is>
          <t>LATCH FRONT DOOR-REAR GLASS-RH</t>
        </is>
      </c>
      <c r="D18" s="132" t="inlineStr">
        <is>
          <t>BF243103</t>
        </is>
      </c>
      <c r="E18" s="103" t="n">
        <v>1</v>
      </c>
    </row>
    <row r="19">
      <c r="A19" s="105" t="n"/>
      <c r="B19" s="108" t="n"/>
      <c r="C19" s="131" t="inlineStr">
        <is>
          <t>CHANNEL FRT DOOR SLIDING TOP LH</t>
        </is>
      </c>
      <c r="D19" s="132" t="inlineStr">
        <is>
          <t>BF243057</t>
        </is>
      </c>
      <c r="E19" s="103" t="n">
        <v>1</v>
      </c>
    </row>
    <row r="20">
      <c r="A20" s="105" t="n"/>
      <c r="B20" s="108" t="n"/>
      <c r="C20" s="136" t="inlineStr">
        <is>
          <t>CLIP</t>
        </is>
      </c>
      <c r="D20" s="132" t="inlineStr">
        <is>
          <t>BF241152</t>
        </is>
      </c>
      <c r="E20" s="103" t="n">
        <v>16</v>
      </c>
    </row>
    <row r="21">
      <c r="A21" s="105" t="n"/>
      <c r="B21" s="108" t="n"/>
      <c r="C21" s="131" t="inlineStr">
        <is>
          <t>GLASS WINDOW FRONT FRONT LH</t>
        </is>
      </c>
      <c r="D21" s="132" t="inlineStr">
        <is>
          <t>BF243049</t>
        </is>
      </c>
      <c r="E21" s="103" t="n">
        <v>1</v>
      </c>
    </row>
    <row r="22">
      <c r="A22" s="105" t="n">
        <v>2</v>
      </c>
      <c r="B22" s="103" t="n"/>
      <c r="C22" s="137" t="inlineStr">
        <is>
          <t>GLASS WINDOW FRONT REAR LH</t>
        </is>
      </c>
      <c r="D22" s="103" t="inlineStr">
        <is>
          <t>BF243050</t>
        </is>
      </c>
      <c r="E22" s="103" t="n">
        <v>1</v>
      </c>
    </row>
    <row r="23">
      <c r="A23" s="117" t="n">
        <v>3</v>
      </c>
      <c r="B23" s="118" t="inlineStr">
        <is>
          <t>صاموله عجل</t>
        </is>
      </c>
      <c r="C23" s="138" t="inlineStr">
        <is>
          <t>NUT CONICAL M 10</t>
        </is>
      </c>
      <c r="D23" s="117" t="inlineStr">
        <is>
          <t>BF131486</t>
        </is>
      </c>
      <c r="E23" s="103" t="n">
        <v>6</v>
      </c>
    </row>
    <row r="24">
      <c r="A24" s="117" t="n">
        <v>4</v>
      </c>
      <c r="B24" s="118" t="inlineStr">
        <is>
          <t>وش مفتاح إنتظار</t>
        </is>
      </c>
      <c r="C24" s="118" t="inlineStr">
        <is>
          <t>HOUSING SWITCH LHD</t>
        </is>
      </c>
      <c r="D24" s="117" t="inlineStr">
        <is>
          <t>BF182300</t>
        </is>
      </c>
      <c r="E24" s="103" t="n">
        <v>1</v>
      </c>
    </row>
    <row r="25">
      <c r="A25" s="105" t="n">
        <v>5</v>
      </c>
      <c r="B25" s="108" t="inlineStr">
        <is>
          <t>فبرة درج باب أمامي يمين</t>
        </is>
      </c>
      <c r="C25" s="108" t="inlineStr">
        <is>
          <t>DOOR TRIM PANEL FRONT RH</t>
        </is>
      </c>
      <c r="D25" s="105" t="inlineStr">
        <is>
          <t>BF182403</t>
        </is>
      </c>
      <c r="E25" s="105" t="n">
        <v>1</v>
      </c>
    </row>
    <row r="26">
      <c r="A26" s="105" t="n">
        <v>6</v>
      </c>
      <c r="B26" s="108" t="inlineStr">
        <is>
          <t>فبرة زجاج باب أمامي يمين سفليه</t>
        </is>
      </c>
      <c r="C26" s="108" t="inlineStr">
        <is>
          <t>COVER SLIDING FRT DOOR BTM RH</t>
        </is>
      </c>
      <c r="D26" s="105" t="inlineStr">
        <is>
          <t>BF243074</t>
        </is>
      </c>
      <c r="E26" s="105" t="n">
        <v>1</v>
      </c>
    </row>
    <row r="27">
      <c r="A27" s="119" t="n">
        <v>7</v>
      </c>
      <c r="B27" s="120" t="inlineStr">
        <is>
          <t>كالون باب أمامي يمين</t>
        </is>
      </c>
      <c r="C27" s="120" t="n"/>
      <c r="D27" s="119" t="n"/>
      <c r="E27" s="139" t="n">
        <v>1</v>
      </c>
    </row>
    <row r="28">
      <c r="A28" s="119" t="n">
        <v>8</v>
      </c>
      <c r="B28" s="120" t="inlineStr">
        <is>
          <t>كالون باب خلفي يمين</t>
        </is>
      </c>
      <c r="C28" s="120" t="n"/>
      <c r="D28" s="119" t="n"/>
      <c r="E28" s="139" t="n">
        <v>1</v>
      </c>
    </row>
    <row r="29">
      <c r="A29" s="105" t="n">
        <v>9</v>
      </c>
      <c r="B29" s="108" t="inlineStr">
        <is>
          <t>فبرة سفلية باب خلفي يمين</t>
        </is>
      </c>
      <c r="C29" s="108" t="inlineStr">
        <is>
          <t>DOOR TRIM PANEL REAR RH</t>
        </is>
      </c>
      <c r="D29" s="105" t="inlineStr">
        <is>
          <t>BF182435</t>
        </is>
      </c>
      <c r="E29" s="103" t="n">
        <v>1</v>
      </c>
    </row>
    <row r="30">
      <c r="A30" s="105" t="n">
        <v>10</v>
      </c>
      <c r="B30" s="121" t="inlineStr">
        <is>
          <t>فيبرة حزام خلفى يمين</t>
        </is>
      </c>
      <c r="C30" s="121" t="inlineStr">
        <is>
          <t>SEAT BELT ELR REAR COVER RH</t>
        </is>
      </c>
      <c r="D30" s="121" t="inlineStr">
        <is>
          <t>BF182624</t>
        </is>
      </c>
      <c r="E30" s="103" t="n">
        <v>1</v>
      </c>
    </row>
    <row r="31">
      <c r="A31" s="105" t="n"/>
      <c r="B31" s="121" t="inlineStr">
        <is>
          <t>فيبرة حزام خلفى شمال</t>
        </is>
      </c>
      <c r="C31" s="121" t="inlineStr">
        <is>
          <t>SEAT BELT ELR REAR COVER LH</t>
        </is>
      </c>
      <c r="D31" s="121" t="inlineStr">
        <is>
          <t>BF182625</t>
        </is>
      </c>
      <c r="E31" s="103" t="n">
        <v>1</v>
      </c>
    </row>
    <row r="32">
      <c r="A32" s="105" t="n"/>
      <c r="B32" s="108" t="inlineStr">
        <is>
          <t>طقم حزام خلفي</t>
        </is>
      </c>
      <c r="C32" s="121" t="inlineStr">
        <is>
          <t>BELT ASSEMBLY SEAT REAR</t>
        </is>
      </c>
      <c r="D32" s="121" t="inlineStr">
        <is>
          <t>BF182635</t>
        </is>
      </c>
      <c r="E32" s="103" t="n">
        <v>1</v>
      </c>
    </row>
    <row r="33">
      <c r="A33" s="105" t="n"/>
      <c r="B33" s="108" t="inlineStr">
        <is>
          <t>طقم حزام أمامي</t>
        </is>
      </c>
      <c r="C33" s="121" t="inlineStr">
        <is>
          <t>BELT ASSEMBLY SEAT FRONT</t>
        </is>
      </c>
      <c r="D33" s="121" t="inlineStr">
        <is>
          <t>BF182634</t>
        </is>
      </c>
      <c r="E33" s="103" t="n">
        <v>1</v>
      </c>
    </row>
    <row r="34">
      <c r="A34" s="105" t="n">
        <v>11</v>
      </c>
      <c r="B34" s="108" t="inlineStr">
        <is>
          <t>فبرة كابترة عجل خلفي يمين أمامي</t>
        </is>
      </c>
      <c r="C34" s="121" t="inlineStr">
        <is>
          <t>GUARD SPLASH REAR RH FRONT</t>
        </is>
      </c>
      <c r="D34" s="121" t="inlineStr">
        <is>
          <t>BF185077</t>
        </is>
      </c>
      <c r="E34" s="103" t="n">
        <v>1</v>
      </c>
    </row>
    <row r="35">
      <c r="A35" s="117" t="n">
        <v>12</v>
      </c>
      <c r="B35" s="118" t="inlineStr">
        <is>
          <t>جبل باب ماتور</t>
        </is>
      </c>
      <c r="C35" s="121" t="inlineStr">
        <is>
          <t>STRING ENGINE ACC COVER STOPPER</t>
        </is>
      </c>
      <c r="D35" s="121" t="inlineStr">
        <is>
          <t>BF244009</t>
        </is>
      </c>
      <c r="E35" s="117" t="n">
        <v>2</v>
      </c>
    </row>
    <row r="36">
      <c r="A36" s="105" t="n">
        <v>13</v>
      </c>
      <c r="B36" s="108" t="inlineStr">
        <is>
          <t>كنترول</t>
        </is>
      </c>
      <c r="C36" s="108" t="inlineStr">
        <is>
          <t>ECU</t>
        </is>
      </c>
      <c r="D36" s="105" t="inlineStr">
        <is>
          <t>JP351439</t>
        </is>
      </c>
      <c r="E36" s="103" t="n">
        <v>1</v>
      </c>
    </row>
    <row r="37">
      <c r="A37" s="140" t="n">
        <v>14</v>
      </c>
      <c r="B37" s="141" t="inlineStr">
        <is>
          <t>كابل غيار اسود</t>
        </is>
      </c>
      <c r="C37" s="103" t="inlineStr">
        <is>
          <t>CABLE GEAR BLACK</t>
        </is>
      </c>
      <c r="D37" s="103" t="inlineStr">
        <is>
          <t>BF161243</t>
        </is>
      </c>
      <c r="E37" s="103" t="n">
        <v>1</v>
      </c>
    </row>
    <row r="38">
      <c r="A38" s="140" t="n">
        <v>15</v>
      </c>
      <c r="B38" s="141" t="inlineStr">
        <is>
          <t>درج باب خلفي يمين</t>
        </is>
      </c>
      <c r="C38" s="103" t="inlineStr">
        <is>
          <t>DOOR TRIM PANEL REAR RH</t>
        </is>
      </c>
      <c r="D38" s="103" t="inlineStr">
        <is>
          <t>BF182435</t>
        </is>
      </c>
      <c r="E38" s="103" t="n">
        <v>1</v>
      </c>
    </row>
  </sheetData>
  <conditionalFormatting sqref="D35">
    <cfRule type="duplicateValues" priority="2" dxfId="0"/>
  </conditionalFormatting>
  <conditionalFormatting sqref="D34">
    <cfRule type="duplicateValues" priority="3" dxfId="0"/>
  </conditionalFormatting>
  <conditionalFormatting sqref="D30:D31">
    <cfRule type="duplicateValues" priority="4" dxfId="0"/>
  </conditionalFormatting>
  <conditionalFormatting sqref="D33">
    <cfRule type="duplicateValues" priority="5" dxfId="0"/>
  </conditionalFormatting>
  <conditionalFormatting sqref="D32">
    <cfRule type="duplicateValues" priority="6" dxfId="0"/>
  </conditionalFormatting>
  <conditionalFormatting sqref="D8:D21">
    <cfRule type="duplicateValues" priority="7" dxfId="0"/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rightToLeft="0" tabSelected="0" zoomScale="70" zoomScaleNormal="70" workbookViewId="0">
      <pane ySplit="7" topLeftCell="A8" activePane="bottomLeft" state="frozen"/>
      <selection activeCell="A1" sqref="A1"/>
      <selection pane="bottomLeft" activeCell="A8" sqref="A8"/>
    </sheetView>
  </sheetViews>
  <sheetFormatPr baseColWidth="8" defaultColWidth="8.7109375" defaultRowHeight="15"/>
  <cols>
    <col width="20" customWidth="1" style="29" min="1" max="1"/>
    <col width="58" customWidth="1" style="29" min="2" max="2"/>
    <col width="52" customWidth="1" style="29" min="3" max="3"/>
    <col width="16" customWidth="1" style="29" min="4" max="4"/>
    <col width="12.140625" customWidth="1" style="29" min="5" max="5"/>
  </cols>
  <sheetData>
    <row r="1">
      <c r="A1" s="114" t="inlineStr">
        <is>
          <t>Chassis No.</t>
        </is>
      </c>
      <c r="B1" s="108" t="inlineStr">
        <is>
          <t>MD2A68CX1WTB00679</t>
        </is>
      </c>
      <c r="C1" s="103" t="n"/>
      <c r="D1" s="103" t="n"/>
      <c r="E1" s="103" t="n"/>
    </row>
    <row r="2">
      <c r="A2" s="114" t="inlineStr">
        <is>
          <t>Engine No.</t>
        </is>
      </c>
      <c r="B2" s="108" t="inlineStr">
        <is>
          <t>BFXWTB23607</t>
        </is>
      </c>
      <c r="C2" s="103" t="n"/>
      <c r="D2" s="103" t="n"/>
      <c r="E2" s="103" t="n"/>
    </row>
    <row r="3">
      <c r="A3" s="114" t="inlineStr">
        <is>
          <t>Operating Status</t>
        </is>
      </c>
      <c r="B3" s="108" t="inlineStr">
        <is>
          <t>Accident - at the bodywork and paint shop</t>
        </is>
      </c>
      <c r="C3" s="103" t="n"/>
      <c r="D3" s="103" t="n"/>
      <c r="E3" s="103" t="n"/>
    </row>
    <row r="4">
      <c r="A4" s="114" t="inlineStr">
        <is>
          <t>Date</t>
        </is>
      </c>
      <c r="B4" s="108" t="inlineStr">
        <is>
          <t>25/10/2026</t>
        </is>
      </c>
      <c r="C4" s="103" t="n"/>
      <c r="D4" s="103" t="n"/>
      <c r="E4" s="103" t="n"/>
    </row>
    <row r="5">
      <c r="A5" s="114" t="inlineStr">
        <is>
          <t>Color</t>
        </is>
      </c>
      <c r="B5" s="108" t="inlineStr">
        <is>
          <t>White</t>
        </is>
      </c>
      <c r="C5" s="103" t="n"/>
      <c r="D5" s="103" t="n"/>
      <c r="E5" s="103" t="n"/>
    </row>
    <row r="6">
      <c r="A6" s="103" t="n"/>
      <c r="B6" s="103" t="n"/>
      <c r="C6" s="103" t="n"/>
      <c r="D6" s="103" t="n"/>
      <c r="E6" s="103" t="n"/>
    </row>
    <row r="7">
      <c r="A7" s="102" t="inlineStr">
        <is>
          <t>No.</t>
        </is>
      </c>
      <c r="B7" s="102" t="inlineStr">
        <is>
          <t>Missing Part (Arabic)</t>
        </is>
      </c>
      <c r="C7" s="102" t="inlineStr">
        <is>
          <t>Part Name</t>
        </is>
      </c>
      <c r="D7" s="102" t="inlineStr">
        <is>
          <t>Part No.</t>
        </is>
      </c>
      <c r="E7" s="102" t="inlineStr">
        <is>
          <t>Quantity</t>
        </is>
      </c>
    </row>
    <row r="8" ht="28.5" customHeight="1" s="29">
      <c r="A8" s="105" t="n">
        <v>1</v>
      </c>
      <c r="B8" s="108" t="inlineStr">
        <is>
          <t>فانوس أمامي يمين</t>
        </is>
      </c>
      <c r="C8" s="123" t="inlineStr">
        <is>
          <t>HEAD LAMP RH ASYM BEAM LHD 60 55W</t>
        </is>
      </c>
      <c r="D8" s="117" t="inlineStr">
        <is>
          <t>BF401136</t>
        </is>
      </c>
      <c r="E8" s="103" t="n">
        <v>1</v>
      </c>
    </row>
    <row r="9">
      <c r="A9" s="105" t="n">
        <v>2</v>
      </c>
      <c r="B9" s="108" t="inlineStr">
        <is>
          <t>اكصدام</t>
        </is>
      </c>
      <c r="C9" s="129" t="inlineStr">
        <is>
          <t>BUMPER FRONT</t>
        </is>
      </c>
      <c r="D9" s="105" t="inlineStr">
        <is>
          <t>BF182006</t>
        </is>
      </c>
      <c r="E9" s="103" t="n">
        <v>1</v>
      </c>
    </row>
    <row r="10" ht="28.5" customHeight="1" s="29">
      <c r="A10" s="105" t="n">
        <v>3</v>
      </c>
      <c r="B10" s="108" t="inlineStr">
        <is>
          <t>كابترة أمامي يمين علوية</t>
        </is>
      </c>
      <c r="C10" s="129" t="inlineStr">
        <is>
          <t>GUARD SPLASH FRONT RH UPPER</t>
        </is>
      </c>
      <c r="D10" s="105" t="inlineStr">
        <is>
          <t>BF185025</t>
        </is>
      </c>
      <c r="E10" s="105" t="n">
        <v>1</v>
      </c>
    </row>
    <row r="11">
      <c r="A11" s="105" t="n">
        <v>4</v>
      </c>
      <c r="B11" s="120" t="inlineStr">
        <is>
          <t>كالون باب أمامي يمين</t>
        </is>
      </c>
      <c r="C11" s="120" t="n"/>
      <c r="D11" s="119" t="n"/>
      <c r="E11" s="139" t="n">
        <v>1</v>
      </c>
    </row>
    <row r="12" ht="28.5" customHeight="1" s="29">
      <c r="A12" s="105" t="n">
        <v>5</v>
      </c>
      <c r="B12" s="108" t="inlineStr">
        <is>
          <t>فبرة درج باب أمامي يمين</t>
        </is>
      </c>
      <c r="C12" s="129" t="inlineStr">
        <is>
          <t>DOOR TRIM PANEL FRONT RH</t>
        </is>
      </c>
      <c r="D12" s="105" t="inlineStr">
        <is>
          <t>BF182403</t>
        </is>
      </c>
      <c r="E12" s="105" t="n">
        <v>1</v>
      </c>
    </row>
    <row r="13" ht="28.5" customHeight="1" s="29">
      <c r="A13" s="105" t="n">
        <v>6</v>
      </c>
      <c r="B13" s="108" t="inlineStr">
        <is>
          <t>فبرة زجاج باب أمامي يمين سفليه</t>
        </is>
      </c>
      <c r="C13" s="129" t="inlineStr">
        <is>
          <t>COVER SLIDING FRT DOOR BTM RH</t>
        </is>
      </c>
      <c r="D13" s="105" t="inlineStr">
        <is>
          <t>BF243074</t>
        </is>
      </c>
      <c r="E13" s="105" t="n">
        <v>1</v>
      </c>
    </row>
    <row r="14">
      <c r="A14" s="105" t="n">
        <v>7</v>
      </c>
      <c r="B14" s="108" t="inlineStr">
        <is>
          <t>طبة عتبة يمين</t>
        </is>
      </c>
      <c r="C14" s="130" t="inlineStr">
        <is>
          <t>CAP TR ARM MOUNTING RH</t>
        </is>
      </c>
      <c r="D14" s="121" t="inlineStr">
        <is>
          <t>BF185011</t>
        </is>
      </c>
      <c r="E14" s="103" t="n">
        <v>1</v>
      </c>
    </row>
    <row r="15" ht="33" customHeight="1" s="29">
      <c r="A15" s="105" t="n">
        <v>8</v>
      </c>
      <c r="B15" s="108" t="inlineStr">
        <is>
          <t>باب خلفي يمين كامل + فريم + زجاج + جوانة + فبرة زجاج</t>
        </is>
      </c>
      <c r="C15" s="142" t="inlineStr">
        <is>
          <t>ASSEMBLY REAR DOOR COMP RH WHITE</t>
        </is>
      </c>
      <c r="D15" s="103" t="inlineStr">
        <is>
          <t>52BF0102</t>
        </is>
      </c>
      <c r="E15" s="103" t="n">
        <v>1</v>
      </c>
    </row>
    <row r="16" ht="28.5" customHeight="1" s="29">
      <c r="A16" s="105" t="n">
        <v>9</v>
      </c>
      <c r="B16" s="108" t="inlineStr">
        <is>
          <t>افيز بطارية</t>
        </is>
      </c>
      <c r="C16" s="129" t="inlineStr">
        <is>
          <t>BRACKET CLAMP BATTERY</t>
        </is>
      </c>
      <c r="D16" s="105" t="inlineStr">
        <is>
          <t>BF211543</t>
        </is>
      </c>
      <c r="E16" s="103" t="n">
        <v>1</v>
      </c>
    </row>
    <row r="17" ht="28.5" customHeight="1" s="29">
      <c r="A17" s="105" t="n"/>
      <c r="B17" s="108" t="n"/>
      <c r="C17" s="123" t="inlineStr">
        <is>
          <t>ARRESTER BATTERY CLAMP ROD</t>
        </is>
      </c>
      <c r="D17" s="105" t="inlineStr">
        <is>
          <t>BF211544</t>
        </is>
      </c>
      <c r="E17" s="103" t="n">
        <v>1</v>
      </c>
    </row>
    <row r="18">
      <c r="A18" s="105" t="n"/>
      <c r="B18" s="108" t="n"/>
      <c r="C18" s="129" t="inlineStr">
        <is>
          <t>NUT HEX FLANGED</t>
        </is>
      </c>
      <c r="D18" s="105" t="inlineStr">
        <is>
          <t>KCGD0606</t>
        </is>
      </c>
      <c r="E18" s="103" t="n">
        <v>2</v>
      </c>
    </row>
    <row r="19">
      <c r="A19" s="105" t="n"/>
      <c r="B19" s="108" t="n"/>
      <c r="C19" s="108" t="inlineStr">
        <is>
          <t>BOLT FLANGED M6X1</t>
        </is>
      </c>
      <c r="D19" s="105" t="inlineStr">
        <is>
          <t>KADT0612</t>
        </is>
      </c>
      <c r="E19" s="103" t="n">
        <v>2</v>
      </c>
    </row>
    <row r="20">
      <c r="A20" s="105" t="n">
        <v>10</v>
      </c>
      <c r="B20" s="108" t="inlineStr">
        <is>
          <t>دلايه ماتور شمال</t>
        </is>
      </c>
      <c r="C20" s="108" t="inlineStr">
        <is>
          <t>COVER SIDE LH CNG</t>
        </is>
      </c>
      <c r="D20" s="105" t="inlineStr">
        <is>
          <t>BF182591</t>
        </is>
      </c>
      <c r="E20" s="103" t="n">
        <v>1</v>
      </c>
    </row>
    <row r="21">
      <c r="A21" s="143" t="n"/>
      <c r="B21" s="144" t="inlineStr">
        <is>
          <t>دلايه ماتور يمين</t>
        </is>
      </c>
      <c r="C21" s="144" t="inlineStr">
        <is>
          <t>COVER SIDE RH CNG</t>
        </is>
      </c>
      <c r="D21" s="143" t="inlineStr">
        <is>
          <t>BF182590</t>
        </is>
      </c>
      <c r="E21" s="103" t="n">
        <v>1</v>
      </c>
    </row>
    <row r="22">
      <c r="A22" s="143" t="n">
        <v>11</v>
      </c>
      <c r="B22" s="145" t="inlineStr">
        <is>
          <t>حامل نمرة</t>
        </is>
      </c>
      <c r="C22" s="145" t="n"/>
      <c r="D22" s="146" t="n"/>
      <c r="E22" s="128" t="n">
        <v>1</v>
      </c>
    </row>
  </sheetData>
  <conditionalFormatting sqref="D14">
    <cfRule type="duplicateValues" priority="2" dxfId="0"/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rightToLeft="0" tabSelected="0" zoomScale="70" zoomScaleNormal="70" workbookViewId="0">
      <pane ySplit="7" topLeftCell="A8" activePane="bottomLeft" state="frozen"/>
      <selection activeCell="A1" sqref="A1"/>
      <selection pane="bottomLeft" activeCell="A8" sqref="A8"/>
    </sheetView>
  </sheetViews>
  <sheetFormatPr baseColWidth="8" defaultColWidth="8.7109375" defaultRowHeight="15"/>
  <cols>
    <col width="20" customWidth="1" style="29" min="1" max="1"/>
    <col width="58" customWidth="1" style="29" min="2" max="2"/>
    <col width="52" customWidth="1" style="29" min="3" max="3"/>
    <col width="16" customWidth="1" style="29" min="4" max="4"/>
    <col width="26" customWidth="1" style="29" min="5" max="5"/>
  </cols>
  <sheetData>
    <row r="1">
      <c r="A1" s="114" t="inlineStr">
        <is>
          <t>Chassis No.</t>
        </is>
      </c>
      <c r="B1" s="108" t="inlineStr">
        <is>
          <t>MD2A68CX9TWB00557</t>
        </is>
      </c>
      <c r="C1" s="103" t="n"/>
      <c r="D1" s="103" t="n"/>
      <c r="E1" s="103" t="n"/>
    </row>
    <row r="2">
      <c r="A2" s="114" t="inlineStr">
        <is>
          <t>Engine No.</t>
        </is>
      </c>
      <c r="B2" s="108" t="inlineStr">
        <is>
          <t>Engine dismantled</t>
        </is>
      </c>
      <c r="C2" s="103" t="n"/>
      <c r="D2" s="103" t="n"/>
      <c r="E2" s="103" t="n"/>
    </row>
    <row r="3">
      <c r="A3" s="114" t="inlineStr">
        <is>
          <t>Operating Status</t>
        </is>
      </c>
      <c r="B3" s="108" t="inlineStr">
        <is>
          <t>Not running</t>
        </is>
      </c>
      <c r="C3" s="103" t="n"/>
      <c r="D3" s="103" t="n"/>
      <c r="E3" s="103" t="n"/>
    </row>
    <row r="4">
      <c r="A4" s="114" t="inlineStr">
        <is>
          <t>Date</t>
        </is>
      </c>
      <c r="B4" s="108" t="inlineStr">
        <is>
          <t>25/10/2026</t>
        </is>
      </c>
      <c r="C4" s="103" t="n"/>
      <c r="D4" s="103" t="n"/>
      <c r="E4" s="103" t="n"/>
    </row>
    <row r="5">
      <c r="A5" s="114" t="inlineStr">
        <is>
          <t>Color</t>
        </is>
      </c>
      <c r="B5" s="108" t="inlineStr">
        <is>
          <t>White</t>
        </is>
      </c>
      <c r="C5" s="103" t="n"/>
      <c r="D5" s="103" t="n"/>
      <c r="E5" s="103" t="n"/>
    </row>
    <row r="6">
      <c r="A6" s="103" t="n"/>
      <c r="B6" s="103" t="n"/>
      <c r="C6" s="103" t="n"/>
      <c r="D6" s="103" t="n"/>
      <c r="E6" s="103" t="n"/>
    </row>
    <row r="7">
      <c r="A7" s="102" t="inlineStr">
        <is>
          <t>No.</t>
        </is>
      </c>
      <c r="B7" s="102" t="inlineStr">
        <is>
          <t>Missing Part (Arabic)</t>
        </is>
      </c>
      <c r="C7" s="102" t="inlineStr">
        <is>
          <t>Part Name</t>
        </is>
      </c>
      <c r="D7" s="102" t="inlineStr">
        <is>
          <t>Part No.</t>
        </is>
      </c>
      <c r="E7" s="102" t="inlineStr">
        <is>
          <t>Quantity</t>
        </is>
      </c>
    </row>
    <row r="8">
      <c r="A8" s="105" t="n">
        <v>1</v>
      </c>
      <c r="B8" s="108" t="inlineStr">
        <is>
          <t>فانوس أمامي يمين</t>
        </is>
      </c>
      <c r="C8" s="121" t="inlineStr">
        <is>
          <t>HEAD LAMP RH ASYM BEAM LHD 60 55W</t>
        </is>
      </c>
      <c r="D8" s="121" t="inlineStr">
        <is>
          <t>BF401136</t>
        </is>
      </c>
      <c r="E8" s="103" t="n">
        <v>1</v>
      </c>
    </row>
    <row r="9" ht="28.5" customHeight="1" s="29">
      <c r="A9" s="105" t="n">
        <v>2</v>
      </c>
      <c r="B9" s="108" t="inlineStr">
        <is>
          <t>كابترة أمامي يمين علوية</t>
        </is>
      </c>
      <c r="C9" s="108" t="inlineStr">
        <is>
          <t>GUARD SPLASH FRONT RH UPPER</t>
        </is>
      </c>
      <c r="D9" s="105" t="inlineStr">
        <is>
          <t>BF185025</t>
        </is>
      </c>
      <c r="E9" s="105" t="n">
        <v>1</v>
      </c>
    </row>
    <row r="10">
      <c r="A10" s="105" t="n">
        <v>3</v>
      </c>
      <c r="B10" s="108" t="inlineStr">
        <is>
          <t>دلاية أمامي شمال</t>
        </is>
      </c>
      <c r="C10" s="121" t="inlineStr">
        <is>
          <t>MUDFLAP FRONT LH</t>
        </is>
      </c>
      <c r="D10" s="121" t="inlineStr">
        <is>
          <t>BF185072</t>
        </is>
      </c>
      <c r="E10" s="103" t="n">
        <v>1</v>
      </c>
    </row>
    <row r="11">
      <c r="A11" s="127" t="n">
        <v>4</v>
      </c>
      <c r="B11" s="112" t="inlineStr">
        <is>
          <t>عتبه يمين</t>
        </is>
      </c>
      <c r="C11" s="112" t="n"/>
      <c r="D11" s="127" t="n">
        <v>1</v>
      </c>
      <c r="E11" s="128" t="n"/>
    </row>
    <row r="12" ht="216.75" customHeight="1" s="29">
      <c r="A12" s="127" t="n"/>
      <c r="B12" s="112" t="inlineStr">
        <is>
          <t>عتبه شمال</t>
        </is>
      </c>
      <c r="C12" s="112" t="n"/>
      <c r="D12" s="127" t="n">
        <v>1</v>
      </c>
      <c r="E12" s="128" t="n"/>
    </row>
    <row r="13">
      <c r="A13" s="105" t="n">
        <v>5</v>
      </c>
      <c r="B13" s="108" t="inlineStr">
        <is>
          <t>مرايه يمين</t>
        </is>
      </c>
      <c r="C13" s="108" t="inlineStr">
        <is>
          <t>ORVM RH</t>
        </is>
      </c>
      <c r="D13" s="105" t="inlineStr">
        <is>
          <t>BF184638</t>
        </is>
      </c>
      <c r="E13" s="147" t="n">
        <v>1</v>
      </c>
    </row>
    <row r="14">
      <c r="A14" s="105" t="n"/>
      <c r="B14" s="108" t="inlineStr">
        <is>
          <t>مرايه شمال</t>
        </is>
      </c>
      <c r="C14" s="108" t="inlineStr">
        <is>
          <t>ORVM LH</t>
        </is>
      </c>
      <c r="D14" s="105" t="inlineStr">
        <is>
          <t>BF184637</t>
        </is>
      </c>
      <c r="E14" s="147" t="n">
        <v>1</v>
      </c>
    </row>
    <row r="15">
      <c r="A15" s="105" t="n">
        <v>6</v>
      </c>
      <c r="B15" s="108" t="inlineStr">
        <is>
          <t>غطاء عجل</t>
        </is>
      </c>
      <c r="C15" s="118" t="inlineStr">
        <is>
          <t>HUB CAP - STEEL WHEEL</t>
        </is>
      </c>
      <c r="D15" s="117" t="inlineStr">
        <is>
          <t>BF131505</t>
        </is>
      </c>
      <c r="E15" s="103" t="n">
        <v>4</v>
      </c>
    </row>
    <row r="16">
      <c r="A16" s="105" t="n">
        <v>7</v>
      </c>
      <c r="B16" s="108" t="inlineStr">
        <is>
          <t>زجاج أمامي شمال + فريم + جوانة + فبرة زجاج</t>
        </is>
      </c>
      <c r="C16" s="132" t="inlineStr">
        <is>
          <t>FRAME DOOR FRONT LH</t>
        </is>
      </c>
      <c r="D16" s="132" t="inlineStr">
        <is>
          <t>BF243085</t>
        </is>
      </c>
      <c r="E16" s="103" t="n">
        <v>1</v>
      </c>
    </row>
    <row r="17">
      <c r="A17" s="105" t="n"/>
      <c r="B17" s="108" t="n"/>
      <c r="C17" s="132" t="inlineStr">
        <is>
          <t>BEADING FRONT LH LOWER</t>
        </is>
      </c>
      <c r="D17" s="132" t="inlineStr">
        <is>
          <t>BF243091</t>
        </is>
      </c>
      <c r="E17" s="103" t="n">
        <v>1</v>
      </c>
    </row>
    <row r="18">
      <c r="A18" s="105" t="n"/>
      <c r="B18" s="108" t="n"/>
      <c r="C18" s="132" t="inlineStr">
        <is>
          <t>GUIDE CHNL BEADING RR FRT</t>
        </is>
      </c>
      <c r="D18" s="132" t="inlineStr">
        <is>
          <t>BF243093</t>
        </is>
      </c>
      <c r="E18" s="103" t="n">
        <v>2</v>
      </c>
    </row>
    <row r="19">
      <c r="A19" s="105" t="n"/>
      <c r="B19" s="108" t="n"/>
      <c r="C19" s="132" t="inlineStr">
        <is>
          <t>ED COATED DOOR FRAME- FRT LH-BF243085</t>
        </is>
      </c>
      <c r="D19" s="132" t="inlineStr">
        <is>
          <t>52BF0689</t>
        </is>
      </c>
      <c r="E19" s="103" t="n">
        <v>1</v>
      </c>
    </row>
    <row r="20">
      <c r="A20" s="105" t="n"/>
      <c r="B20" s="108" t="n"/>
      <c r="C20" s="132" t="inlineStr">
        <is>
          <t>ASSLY CHANNEL QTR GLS MTG LH PAINT-BLACK</t>
        </is>
      </c>
      <c r="D20" s="132" t="inlineStr">
        <is>
          <t>56BF3R22</t>
        </is>
      </c>
      <c r="E20" s="103" t="n">
        <v>1</v>
      </c>
    </row>
    <row r="21">
      <c r="A21" s="105" t="n"/>
      <c r="B21" s="108" t="n"/>
      <c r="C21" s="132" t="inlineStr">
        <is>
          <t>CHANNEL GLASS DOOR FR LOWER LH</t>
        </is>
      </c>
      <c r="D21" s="132" t="inlineStr">
        <is>
          <t>BF243058</t>
        </is>
      </c>
      <c r="E21" s="103" t="n">
        <v>1</v>
      </c>
    </row>
    <row r="22">
      <c r="A22" s="105" t="n"/>
      <c r="B22" s="108" t="n"/>
      <c r="C22" s="132" t="inlineStr">
        <is>
          <t>COVER SLIDING FRT DOOR BTM LH</t>
        </is>
      </c>
      <c r="D22" s="132" t="inlineStr">
        <is>
          <t>BF243073</t>
        </is>
      </c>
      <c r="E22" s="103" t="n">
        <v>1</v>
      </c>
    </row>
    <row r="23">
      <c r="A23" s="105" t="n"/>
      <c r="B23" s="108" t="n"/>
      <c r="C23" s="132" t="inlineStr">
        <is>
          <t>LOCK RE60 SLIDING GLASS</t>
        </is>
      </c>
      <c r="D23" s="132" t="inlineStr">
        <is>
          <t>BF243066</t>
        </is>
      </c>
      <c r="E23" s="103" t="n">
        <v>2</v>
      </c>
    </row>
    <row r="24">
      <c r="A24" s="105" t="n"/>
      <c r="B24" s="108" t="n"/>
      <c r="C24" s="132" t="inlineStr">
        <is>
          <t>LATCH FRONT DOOR-REAR GLASS-LH</t>
        </is>
      </c>
      <c r="D24" s="132" t="inlineStr">
        <is>
          <t>BF243102</t>
        </is>
      </c>
      <c r="E24" s="103" t="n">
        <v>1</v>
      </c>
    </row>
    <row r="25">
      <c r="A25" s="105" t="n"/>
      <c r="B25" s="108" t="n"/>
      <c r="C25" s="132" t="inlineStr">
        <is>
          <t>LATCH FRONT DOOR-REAR GLASS-RH</t>
        </is>
      </c>
      <c r="D25" s="132" t="inlineStr">
        <is>
          <t>BF243103</t>
        </is>
      </c>
      <c r="E25" s="103" t="n">
        <v>1</v>
      </c>
    </row>
    <row r="26">
      <c r="A26" s="105" t="n"/>
      <c r="B26" s="108" t="n"/>
      <c r="C26" s="132" t="inlineStr">
        <is>
          <t>CHANNEL FRT DOOR SLIDING TOP LH</t>
        </is>
      </c>
      <c r="D26" s="132" t="inlineStr">
        <is>
          <t>BF243057</t>
        </is>
      </c>
      <c r="E26" s="103" t="n">
        <v>1</v>
      </c>
    </row>
    <row r="27">
      <c r="A27" s="105" t="n"/>
      <c r="B27" s="108" t="n"/>
      <c r="C27" s="132" t="inlineStr">
        <is>
          <t>CLIP</t>
        </is>
      </c>
      <c r="D27" s="132" t="inlineStr">
        <is>
          <t>BF241152</t>
        </is>
      </c>
      <c r="E27" s="103" t="n">
        <v>16</v>
      </c>
    </row>
    <row r="28">
      <c r="A28" s="105" t="n"/>
      <c r="B28" s="108" t="n"/>
      <c r="C28" s="132" t="inlineStr">
        <is>
          <t>GLASS WINDOW FRONT FRONT LH</t>
        </is>
      </c>
      <c r="D28" s="132" t="inlineStr">
        <is>
          <t>BF243049</t>
        </is>
      </c>
      <c r="E28" s="103" t="n">
        <v>1</v>
      </c>
    </row>
    <row r="29">
      <c r="A29" s="105" t="n"/>
      <c r="B29" s="108" t="n"/>
      <c r="C29" s="103" t="inlineStr">
        <is>
          <t>GLASS WINDOW FRONT REAR LH</t>
        </is>
      </c>
      <c r="D29" s="103" t="inlineStr">
        <is>
          <t>BF243050</t>
        </is>
      </c>
      <c r="E29" s="103" t="n">
        <v>1</v>
      </c>
    </row>
    <row r="30">
      <c r="A30" s="119" t="n">
        <v>8</v>
      </c>
      <c r="B30" s="120" t="inlineStr">
        <is>
          <t>كالون باب أمامي شمال</t>
        </is>
      </c>
      <c r="C30" s="120" t="n"/>
      <c r="D30" s="119" t="n"/>
      <c r="E30" s="139" t="n">
        <v>1</v>
      </c>
    </row>
    <row r="31">
      <c r="A31" s="105" t="n">
        <v>10</v>
      </c>
      <c r="B31" s="108" t="inlineStr">
        <is>
          <t>مروحه امامي</t>
        </is>
      </c>
      <c r="C31" s="121" t="inlineStr">
        <is>
          <t>FAN ASSEMBLY FRONT</t>
        </is>
      </c>
      <c r="D31" s="121" t="inlineStr">
        <is>
          <t>BF253489</t>
        </is>
      </c>
      <c r="E31" s="103" t="n">
        <v>1</v>
      </c>
    </row>
    <row r="32">
      <c r="A32" s="105" t="n"/>
      <c r="B32" s="108" t="inlineStr">
        <is>
          <t>مروحه خلفي</t>
        </is>
      </c>
      <c r="C32" s="121" t="inlineStr">
        <is>
          <t>FAN ASSEMBLY REAR</t>
        </is>
      </c>
      <c r="D32" s="121" t="inlineStr">
        <is>
          <t>BF253490</t>
        </is>
      </c>
      <c r="E32" s="103" t="n">
        <v>1</v>
      </c>
    </row>
    <row r="33">
      <c r="A33" s="105" t="n">
        <v>11</v>
      </c>
      <c r="B33" s="108" t="inlineStr">
        <is>
          <t>حزام خلفي</t>
        </is>
      </c>
      <c r="C33" s="121" t="inlineStr">
        <is>
          <t>BELT ASSEMBLY SEAT REAR</t>
        </is>
      </c>
      <c r="D33" s="121" t="inlineStr">
        <is>
          <t>BF182635</t>
        </is>
      </c>
      <c r="E33" s="103" t="n">
        <v>1</v>
      </c>
    </row>
    <row r="34">
      <c r="A34" s="105" t="n"/>
      <c r="B34" s="108" t="inlineStr">
        <is>
          <t>حزام أمامي</t>
        </is>
      </c>
      <c r="C34" s="121" t="inlineStr">
        <is>
          <t>BELT ASSEMBLY SEAT FRONT</t>
        </is>
      </c>
      <c r="D34" s="121" t="inlineStr">
        <is>
          <t>BF182634</t>
        </is>
      </c>
      <c r="E34" s="103" t="n">
        <v>1</v>
      </c>
    </row>
    <row r="35">
      <c r="A35" s="105" t="n"/>
      <c r="B35" s="121" t="inlineStr">
        <is>
          <t>فيبرة حزام خلفى يمين</t>
        </is>
      </c>
      <c r="C35" s="121" t="inlineStr">
        <is>
          <t>SEAT BELT ELR REAR COVER RH</t>
        </is>
      </c>
      <c r="D35" s="121" t="inlineStr">
        <is>
          <t>BF182624</t>
        </is>
      </c>
      <c r="E35" s="103" t="n">
        <v>1</v>
      </c>
    </row>
    <row r="36">
      <c r="A36" s="105" t="n"/>
      <c r="B36" s="121" t="inlineStr">
        <is>
          <t>فيبرة حزام خلفى شمال</t>
        </is>
      </c>
      <c r="C36" s="121" t="inlineStr">
        <is>
          <t>SEAT BELT ELR REAR COVER LH</t>
        </is>
      </c>
      <c r="D36" s="121" t="inlineStr">
        <is>
          <t>BF182625</t>
        </is>
      </c>
      <c r="E36" s="103" t="n">
        <v>1</v>
      </c>
    </row>
    <row r="37">
      <c r="A37" s="105" t="n">
        <v>12</v>
      </c>
      <c r="B37" s="108" t="inlineStr">
        <is>
          <t>كونسولة</t>
        </is>
      </c>
      <c r="C37" s="121" t="inlineStr">
        <is>
          <t>COVER MIDDLE UPPER CNG</t>
        </is>
      </c>
      <c r="D37" s="121" t="inlineStr">
        <is>
          <t>BF182588</t>
        </is>
      </c>
      <c r="E37" s="103" t="n">
        <v>1</v>
      </c>
    </row>
    <row r="38" ht="28.5" customHeight="1" s="29">
      <c r="A38" s="105" t="n"/>
      <c r="B38" s="108" t="inlineStr">
        <is>
          <t>مفتاح انتظار</t>
        </is>
      </c>
      <c r="C38" s="108" t="inlineStr">
        <is>
          <t>SWITCH HAZARD WITH ILLUMINATION</t>
        </is>
      </c>
      <c r="D38" s="105" t="inlineStr">
        <is>
          <t>BF401444</t>
        </is>
      </c>
      <c r="E38" s="103" t="n">
        <v>1</v>
      </c>
    </row>
    <row r="39">
      <c r="A39" s="105" t="n">
        <v>13</v>
      </c>
      <c r="B39" s="108" t="inlineStr">
        <is>
          <t>وش مفتاح إنتظار</t>
        </is>
      </c>
      <c r="C39" s="108" t="inlineStr">
        <is>
          <t>HOUSING SWITCH LHD</t>
        </is>
      </c>
      <c r="D39" s="105" t="inlineStr">
        <is>
          <t>BF182300</t>
        </is>
      </c>
      <c r="E39" s="103" t="n">
        <v>1</v>
      </c>
    </row>
    <row r="40">
      <c r="A40" s="105" t="n">
        <v>14</v>
      </c>
      <c r="B40" s="108" t="inlineStr">
        <is>
          <t>كابترة خلفي يمين أمامي</t>
        </is>
      </c>
      <c r="C40" s="121" t="inlineStr">
        <is>
          <t>GUARD SPLASH REAR RH FRONT</t>
        </is>
      </c>
      <c r="D40" s="121" t="inlineStr">
        <is>
          <t>BF185077</t>
        </is>
      </c>
      <c r="E40" s="103" t="n">
        <v>1</v>
      </c>
    </row>
    <row r="41">
      <c r="A41" s="105" t="n">
        <v>15</v>
      </c>
      <c r="B41" s="108" t="inlineStr">
        <is>
          <t>دلاية خلفي يمين</t>
        </is>
      </c>
      <c r="C41" s="121" t="inlineStr">
        <is>
          <t>MUDFLAP REAR RH</t>
        </is>
      </c>
      <c r="D41" s="121" t="inlineStr">
        <is>
          <t>BF185068</t>
        </is>
      </c>
      <c r="E41" s="148" t="n">
        <v>1</v>
      </c>
    </row>
    <row r="42">
      <c r="A42" s="105" t="n">
        <v>16</v>
      </c>
      <c r="B42" s="108" t="inlineStr">
        <is>
          <t>افيز بطارية</t>
        </is>
      </c>
      <c r="C42" s="108" t="inlineStr">
        <is>
          <t>BRACKET CLAMP BATTERY</t>
        </is>
      </c>
      <c r="D42" s="105" t="inlineStr">
        <is>
          <t>BF211543</t>
        </is>
      </c>
      <c r="E42" s="103" t="n">
        <v>1</v>
      </c>
    </row>
    <row r="43" ht="28.5" customHeight="1" s="29">
      <c r="A43" s="105" t="n"/>
      <c r="B43" s="108" t="n"/>
      <c r="C43" s="123" t="inlineStr">
        <is>
          <t>ARRESTER BATTERY CLAMP ROD</t>
        </is>
      </c>
      <c r="D43" s="105" t="inlineStr">
        <is>
          <t>BF211544</t>
        </is>
      </c>
      <c r="E43" s="103" t="n">
        <v>1</v>
      </c>
    </row>
    <row r="44">
      <c r="A44" s="105" t="n"/>
      <c r="B44" s="108" t="n"/>
      <c r="C44" s="129" t="inlineStr">
        <is>
          <t>NUT HEX FLANGED</t>
        </is>
      </c>
      <c r="D44" s="105" t="inlineStr">
        <is>
          <t>KCGD0606</t>
        </is>
      </c>
      <c r="E44" s="103" t="n">
        <v>2</v>
      </c>
    </row>
    <row r="45">
      <c r="A45" s="105" t="n"/>
      <c r="B45" s="108" t="n"/>
      <c r="C45" s="129" t="inlineStr">
        <is>
          <t>BOLT FLANGED M6X1</t>
        </is>
      </c>
      <c r="D45" s="105" t="inlineStr">
        <is>
          <t>KADT0612</t>
        </is>
      </c>
      <c r="E45" s="103" t="n">
        <v>2</v>
      </c>
    </row>
    <row r="46">
      <c r="A46" s="105" t="n">
        <v>17</v>
      </c>
      <c r="B46" s="108" t="inlineStr">
        <is>
          <t>براكيت ماتور</t>
        </is>
      </c>
      <c r="C46" s="129" t="inlineStr">
        <is>
          <t>BRACKET RR ENG SIDE 200CC</t>
        </is>
      </c>
      <c r="D46" s="105" t="inlineStr">
        <is>
          <t>BF113435</t>
        </is>
      </c>
      <c r="E46" s="103" t="n">
        <v>1</v>
      </c>
    </row>
    <row r="47">
      <c r="A47" s="105" t="n"/>
      <c r="B47" s="108" t="n"/>
      <c r="C47" s="123" t="inlineStr">
        <is>
          <t>ISOLATOR ASSEMBLY FRONT</t>
        </is>
      </c>
      <c r="D47" s="105" t="inlineStr">
        <is>
          <t>BF113461</t>
        </is>
      </c>
      <c r="E47" s="103" t="n">
        <v>1</v>
      </c>
    </row>
    <row r="48">
      <c r="A48" s="105" t="n"/>
      <c r="B48" s="108" t="inlineStr">
        <is>
          <t>رشاش بنزين</t>
        </is>
      </c>
      <c r="C48" s="129" t="inlineStr">
        <is>
          <t>FUEL INJECTOR</t>
        </is>
      </c>
      <c r="D48" s="105" t="inlineStr">
        <is>
          <t>JG611007</t>
        </is>
      </c>
      <c r="E48" s="103" t="n">
        <v>1</v>
      </c>
    </row>
    <row r="49">
      <c r="A49" s="105" t="n"/>
      <c r="B49" s="108" t="n"/>
      <c r="C49" s="129" t="inlineStr">
        <is>
          <t>CLIP INJECTOR CLIP</t>
        </is>
      </c>
      <c r="D49" s="105" t="inlineStr">
        <is>
          <t>JG611006</t>
        </is>
      </c>
      <c r="E49" s="103" t="n">
        <v>1</v>
      </c>
    </row>
    <row r="50">
      <c r="A50" s="105" t="n"/>
      <c r="B50" s="108" t="n"/>
      <c r="C50" s="129" t="inlineStr">
        <is>
          <t>ASSEMBLY INJECTOR CAP</t>
        </is>
      </c>
      <c r="D50" s="105" t="inlineStr">
        <is>
          <t>BF611012</t>
        </is>
      </c>
      <c r="E50" s="103" t="n">
        <v>1</v>
      </c>
    </row>
    <row r="51">
      <c r="A51" s="105" t="n"/>
      <c r="B51" s="108" t="n"/>
      <c r="C51" s="129" t="inlineStr">
        <is>
          <t>FIXING SCREW</t>
        </is>
      </c>
      <c r="D51" s="105" t="inlineStr">
        <is>
          <t>JG581424</t>
        </is>
      </c>
      <c r="E51" s="103" t="n">
        <v>1</v>
      </c>
    </row>
    <row r="52">
      <c r="A52" s="105" t="n"/>
      <c r="B52" s="108" t="n"/>
      <c r="C52" s="123" t="inlineStr">
        <is>
          <t>BOLT-FLANGE-KAE ST-D DIA-06 L-25</t>
        </is>
      </c>
      <c r="D52" s="105" t="inlineStr">
        <is>
          <t>KAED0625</t>
        </is>
      </c>
      <c r="E52" s="103" t="n">
        <v>2</v>
      </c>
    </row>
    <row r="53">
      <c r="A53" s="117" t="n">
        <v>18</v>
      </c>
      <c r="B53" s="118" t="inlineStr">
        <is>
          <t>منفولد</t>
        </is>
      </c>
      <c r="C53" s="138" t="inlineStr">
        <is>
          <t>MANIFOLD INTAKE</t>
        </is>
      </c>
      <c r="D53" s="117" t="inlineStr">
        <is>
          <t>BF581420</t>
        </is>
      </c>
      <c r="E53" s="103" t="n">
        <v>1</v>
      </c>
    </row>
    <row r="54">
      <c r="A54" s="117" t="n"/>
      <c r="B54" s="118" t="n"/>
      <c r="C54" s="138" t="inlineStr">
        <is>
          <t>SLEEVE MANIFOLD</t>
        </is>
      </c>
      <c r="D54" s="117" t="inlineStr">
        <is>
          <t>BF581419</t>
        </is>
      </c>
      <c r="E54" s="103" t="n">
        <v>1</v>
      </c>
    </row>
    <row r="55">
      <c r="A55" s="117" t="n"/>
      <c r="B55" s="118" t="n"/>
      <c r="C55" s="138" t="inlineStr">
        <is>
          <t>CLAMP</t>
        </is>
      </c>
      <c r="D55" s="117" t="inlineStr">
        <is>
          <t>JG581442</t>
        </is>
      </c>
      <c r="E55" s="103" t="n">
        <v>1</v>
      </c>
    </row>
    <row r="56">
      <c r="A56" s="117" t="n"/>
      <c r="B56" s="118" t="n"/>
      <c r="C56" s="138" t="inlineStr">
        <is>
          <t>CLAMP CONNECTING TUBE</t>
        </is>
      </c>
      <c r="D56" s="117" t="inlineStr">
        <is>
          <t>JU581006</t>
        </is>
      </c>
      <c r="E56" s="103" t="n">
        <v>1</v>
      </c>
    </row>
    <row r="57">
      <c r="A57" s="105" t="n">
        <v>19</v>
      </c>
      <c r="B57" s="108" t="inlineStr">
        <is>
          <t>بوابه</t>
        </is>
      </c>
      <c r="C57" s="129" t="inlineStr">
        <is>
          <t>BODY THROTTLE ASSEMBLY</t>
        </is>
      </c>
      <c r="D57" s="105" t="inlineStr">
        <is>
          <t>BF611241</t>
        </is>
      </c>
      <c r="E57" s="103" t="n">
        <v>1</v>
      </c>
    </row>
    <row r="58">
      <c r="A58" s="105" t="n">
        <v>20</v>
      </c>
      <c r="B58" s="108" t="inlineStr">
        <is>
          <t>دلايات ماتور</t>
        </is>
      </c>
      <c r="C58" s="129" t="inlineStr">
        <is>
          <t>COVER SIDE LH CNG</t>
        </is>
      </c>
      <c r="D58" s="105" t="inlineStr">
        <is>
          <t>BF182591</t>
        </is>
      </c>
      <c r="E58" s="103" t="n">
        <v>1</v>
      </c>
    </row>
    <row r="59">
      <c r="A59" s="105" t="n"/>
      <c r="B59" s="108" t="n"/>
      <c r="C59" s="149" t="inlineStr">
        <is>
          <t>COVER SIDE RH CNG</t>
        </is>
      </c>
      <c r="D59" s="143" t="inlineStr">
        <is>
          <t>BF182590</t>
        </is>
      </c>
      <c r="E59" s="103" t="n">
        <v>1</v>
      </c>
    </row>
    <row r="60">
      <c r="A60" s="105" t="n">
        <v>21</v>
      </c>
      <c r="B60" s="108" t="inlineStr">
        <is>
          <t>كنترول</t>
        </is>
      </c>
      <c r="C60" s="129" t="inlineStr">
        <is>
          <t>ECU</t>
        </is>
      </c>
      <c r="D60" s="105" t="inlineStr">
        <is>
          <t>JP351439</t>
        </is>
      </c>
      <c r="E60" s="103" t="n">
        <v>1</v>
      </c>
    </row>
    <row r="61">
      <c r="A61" s="125" t="n">
        <v>22</v>
      </c>
      <c r="B61" s="112" t="inlineStr">
        <is>
          <t>شبكة علوية</t>
        </is>
      </c>
      <c r="C61" s="112" t="inlineStr">
        <is>
          <t>Under repair</t>
        </is>
      </c>
      <c r="D61" s="127" t="n"/>
      <c r="E61" s="128" t="n">
        <v>1</v>
      </c>
    </row>
    <row r="62">
      <c r="A62" s="140" t="n">
        <v>23</v>
      </c>
      <c r="B62" s="150" t="inlineStr">
        <is>
          <t>غماز اشاره</t>
        </is>
      </c>
      <c r="C62" s="150" t="inlineStr">
        <is>
          <t>ASSEMBLY SIDE INDICATOR RE60</t>
        </is>
      </c>
      <c r="D62" s="150" t="inlineStr">
        <is>
          <t>BF401128</t>
        </is>
      </c>
      <c r="E62" s="150" t="n">
        <v>2</v>
      </c>
    </row>
    <row r="63">
      <c r="A63" s="140" t="n">
        <v>24</v>
      </c>
      <c r="B63" s="118" t="inlineStr">
        <is>
          <t>جبل باب ماتور</t>
        </is>
      </c>
      <c r="C63" s="121" t="inlineStr">
        <is>
          <t>STRING ENGINE ACC COVER STOPPER</t>
        </is>
      </c>
      <c r="D63" s="121" t="inlineStr">
        <is>
          <t>BF244009</t>
        </is>
      </c>
      <c r="E63" s="117" t="n">
        <v>2</v>
      </c>
    </row>
    <row r="64">
      <c r="A64" s="140" t="n">
        <v>25</v>
      </c>
      <c r="B64" s="103" t="inlineStr">
        <is>
          <t>باب خلفي يمين</t>
        </is>
      </c>
      <c r="C64" s="103" t="inlineStr">
        <is>
          <t>ASSEMBLY REAR DOOR COMP RH WHITE</t>
        </is>
      </c>
      <c r="D64" s="103" t="inlineStr">
        <is>
          <t>52BF0102</t>
        </is>
      </c>
      <c r="E64" s="103" t="n">
        <v>1</v>
      </c>
    </row>
  </sheetData>
  <conditionalFormatting sqref="D41">
    <cfRule type="duplicateValues" priority="3" dxfId="0"/>
  </conditionalFormatting>
  <conditionalFormatting sqref="D40">
    <cfRule type="duplicateValues" priority="4" dxfId="0"/>
  </conditionalFormatting>
  <conditionalFormatting sqref="D37">
    <cfRule type="duplicateValues" priority="5" dxfId="0"/>
  </conditionalFormatting>
  <conditionalFormatting sqref="D35:D36">
    <cfRule type="duplicateValues" priority="6" dxfId="0"/>
  </conditionalFormatting>
  <conditionalFormatting sqref="D33:D34">
    <cfRule type="duplicateValues" priority="7" dxfId="0"/>
  </conditionalFormatting>
  <conditionalFormatting sqref="D31:D32">
    <cfRule type="duplicateValues" priority="8" dxfId="0"/>
  </conditionalFormatting>
  <conditionalFormatting sqref="D16:D28">
    <cfRule type="duplicateValues" priority="9" dxfId="0"/>
  </conditionalFormatting>
  <conditionalFormatting sqref="D10">
    <cfRule type="duplicateValues" priority="10" dxfId="0"/>
  </conditionalFormatting>
  <conditionalFormatting sqref="D8">
    <cfRule type="duplicateValues" priority="11" dxfId="0"/>
  </conditionalFormatting>
  <conditionalFormatting sqref="D63">
    <cfRule type="duplicateValues" priority="1" dxfId="0"/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0" tabSelected="0" zoomScale="70" zoomScaleNormal="70" workbookViewId="0">
      <pane ySplit="7" topLeftCell="A8" activePane="bottomLeft" state="frozen"/>
      <selection activeCell="A1" sqref="A1"/>
      <selection pane="bottomLeft" activeCell="A8" sqref="A8"/>
    </sheetView>
  </sheetViews>
  <sheetFormatPr baseColWidth="8" defaultColWidth="8.7109375" defaultRowHeight="15"/>
  <cols>
    <col width="20" customWidth="1" style="29" min="1" max="1"/>
    <col width="58" customWidth="1" style="29" min="2" max="2"/>
    <col width="52" customWidth="1" style="29" min="3" max="3"/>
    <col width="16" customWidth="1" style="29" min="4" max="4"/>
    <col width="12.140625" customWidth="1" style="29" min="5" max="5"/>
  </cols>
  <sheetData>
    <row r="1">
      <c r="A1" s="114" t="inlineStr">
        <is>
          <t>Chassis No.</t>
        </is>
      </c>
      <c r="B1" s="108" t="inlineStr">
        <is>
          <t>MD2A68CX8TWB00663</t>
        </is>
      </c>
      <c r="C1" s="103" t="n"/>
      <c r="D1" s="103" t="n"/>
      <c r="E1" s="103" t="n"/>
    </row>
    <row r="2">
      <c r="A2" s="114" t="inlineStr">
        <is>
          <t>Engine No.</t>
        </is>
      </c>
      <c r="B2" s="108" t="inlineStr">
        <is>
          <t>BFXWTB23627</t>
        </is>
      </c>
      <c r="C2" s="103" t="n"/>
      <c r="D2" s="103" t="n"/>
      <c r="E2" s="103" t="n"/>
    </row>
    <row r="3">
      <c r="A3" s="114" t="inlineStr">
        <is>
          <t>Operating Status</t>
        </is>
      </c>
      <c r="B3" s="108" t="inlineStr">
        <is>
          <t>Running</t>
        </is>
      </c>
      <c r="C3" s="103" t="n"/>
      <c r="D3" s="103" t="n"/>
      <c r="E3" s="103" t="n"/>
    </row>
    <row r="4">
      <c r="A4" s="114" t="inlineStr">
        <is>
          <t>Date</t>
        </is>
      </c>
      <c r="B4" s="108" t="inlineStr">
        <is>
          <t>25/10/2026</t>
        </is>
      </c>
      <c r="C4" s="103" t="n"/>
      <c r="D4" s="103" t="n"/>
      <c r="E4" s="103" t="n"/>
    </row>
    <row r="5">
      <c r="A5" s="114" t="inlineStr">
        <is>
          <t>Color</t>
        </is>
      </c>
      <c r="B5" s="108" t="inlineStr">
        <is>
          <t>Blue</t>
        </is>
      </c>
      <c r="C5" s="103" t="n"/>
      <c r="D5" s="103" t="n"/>
      <c r="E5" s="103" t="n"/>
    </row>
    <row r="6">
      <c r="A6" s="103" t="n"/>
      <c r="B6" s="103" t="n"/>
      <c r="C6" s="103" t="n"/>
      <c r="D6" s="103" t="n"/>
      <c r="E6" s="103" t="n"/>
    </row>
    <row r="7">
      <c r="A7" s="102" t="inlineStr">
        <is>
          <t>No.</t>
        </is>
      </c>
      <c r="B7" s="102" t="inlineStr">
        <is>
          <t>Missing Part (Arabic)</t>
        </is>
      </c>
      <c r="C7" s="102" t="inlineStr">
        <is>
          <t>Part Name</t>
        </is>
      </c>
      <c r="D7" s="102" t="inlineStr">
        <is>
          <t>Part No.</t>
        </is>
      </c>
      <c r="E7" s="102" t="inlineStr">
        <is>
          <t>Quantity</t>
        </is>
      </c>
    </row>
    <row r="8">
      <c r="A8" s="119" t="n">
        <v>1</v>
      </c>
      <c r="B8" s="120" t="inlineStr">
        <is>
          <t>كالون باب خلفي يمين</t>
        </is>
      </c>
      <c r="C8" s="120" t="n"/>
      <c r="D8" s="119" t="n"/>
      <c r="E8" s="139" t="n">
        <v>1</v>
      </c>
    </row>
    <row r="9">
      <c r="A9" s="105" t="n">
        <v>2</v>
      </c>
      <c r="B9" s="108" t="inlineStr">
        <is>
          <t>طبة عتبة يمين</t>
        </is>
      </c>
      <c r="C9" s="121" t="inlineStr">
        <is>
          <t>CAP TR ARM MOUNTING RH</t>
        </is>
      </c>
      <c r="D9" s="121" t="inlineStr">
        <is>
          <t>BF185011</t>
        </is>
      </c>
      <c r="E9" s="103" t="n">
        <v>1</v>
      </c>
    </row>
    <row r="10">
      <c r="A10" s="103" t="n">
        <v>3</v>
      </c>
      <c r="B10" s="103" t="inlineStr">
        <is>
          <t>طبة عتبة شمال</t>
        </is>
      </c>
      <c r="C10" s="121" t="inlineStr">
        <is>
          <t>CAP TR ARM MOUNTING LH</t>
        </is>
      </c>
      <c r="D10" s="121" t="inlineStr">
        <is>
          <t>BF185010</t>
        </is>
      </c>
      <c r="E10" s="103" t="n">
        <v>1</v>
      </c>
    </row>
  </sheetData>
  <conditionalFormatting sqref="D9">
    <cfRule type="duplicateValues" priority="2" dxfId="0"/>
  </conditionalFormatting>
  <conditionalFormatting sqref="D10">
    <cfRule type="duplicateValues" priority="3" dxfId="0"/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rightToLeft="0" tabSelected="0" zoomScale="70" zoomScaleNormal="70" workbookViewId="0">
      <pane ySplit="7" topLeftCell="A8" activePane="bottomLeft" state="frozen"/>
      <selection activeCell="A1" sqref="A1"/>
      <selection pane="bottomLeft" activeCell="A8" sqref="A8"/>
    </sheetView>
  </sheetViews>
  <sheetFormatPr baseColWidth="8" defaultColWidth="8.7109375" defaultRowHeight="15"/>
  <cols>
    <col width="20" customWidth="1" style="29" min="1" max="1"/>
    <col width="58" customWidth="1" style="29" min="2" max="2"/>
    <col width="52" customWidth="1" style="29" min="3" max="3"/>
    <col width="16" customWidth="1" style="29" min="4" max="4"/>
    <col width="12.140625" customWidth="1" style="29" min="5" max="5"/>
  </cols>
  <sheetData>
    <row r="1">
      <c r="A1" s="114" t="inlineStr">
        <is>
          <t>Chassis No.</t>
        </is>
      </c>
      <c r="B1" s="108" t="inlineStr">
        <is>
          <t>MD2A68CX8TWB00680</t>
        </is>
      </c>
      <c r="C1" s="103" t="n"/>
      <c r="D1" s="103" t="n"/>
      <c r="E1" s="103" t="n"/>
    </row>
    <row r="2">
      <c r="A2" s="114" t="inlineStr">
        <is>
          <t>Engine No.</t>
        </is>
      </c>
      <c r="B2" s="108" t="inlineStr">
        <is>
          <t>BFXWTB23163</t>
        </is>
      </c>
      <c r="C2" s="103" t="n"/>
      <c r="D2" s="103" t="n"/>
      <c r="E2" s="103" t="n"/>
    </row>
    <row r="3">
      <c r="A3" s="114" t="inlineStr">
        <is>
          <t>Operating Status</t>
        </is>
      </c>
      <c r="B3" s="108" t="inlineStr">
        <is>
          <t>Not running</t>
        </is>
      </c>
      <c r="C3" s="103" t="n"/>
      <c r="D3" s="103" t="n"/>
      <c r="E3" s="103" t="n"/>
    </row>
    <row r="4">
      <c r="A4" s="114" t="inlineStr">
        <is>
          <t>Date</t>
        </is>
      </c>
      <c r="B4" s="108" t="inlineStr">
        <is>
          <t>25/10/2026</t>
        </is>
      </c>
      <c r="C4" s="103" t="n"/>
      <c r="D4" s="103" t="n"/>
      <c r="E4" s="103" t="n"/>
    </row>
    <row r="5">
      <c r="A5" s="114" t="inlineStr">
        <is>
          <t>Color</t>
        </is>
      </c>
      <c r="B5" s="108" t="inlineStr">
        <is>
          <t>White</t>
        </is>
      </c>
      <c r="C5" s="103" t="n"/>
      <c r="D5" s="103" t="n"/>
      <c r="E5" s="103" t="n"/>
    </row>
    <row r="6">
      <c r="A6" s="103" t="n"/>
      <c r="B6" s="103" t="n"/>
      <c r="C6" s="103" t="n"/>
      <c r="D6" s="103" t="n"/>
      <c r="E6" s="103" t="n"/>
    </row>
    <row r="7">
      <c r="A7" s="102" t="inlineStr">
        <is>
          <t>No.</t>
        </is>
      </c>
      <c r="B7" s="102" t="inlineStr">
        <is>
          <t>Missing Part (Arabic)</t>
        </is>
      </c>
      <c r="C7" s="102" t="inlineStr">
        <is>
          <t>Part Name</t>
        </is>
      </c>
      <c r="D7" s="102" t="inlineStr">
        <is>
          <t>Part No.</t>
        </is>
      </c>
      <c r="E7" s="102" t="inlineStr">
        <is>
          <t>Quantity</t>
        </is>
      </c>
    </row>
    <row r="8">
      <c r="A8" s="117" t="n">
        <v>1</v>
      </c>
      <c r="B8" s="118" t="inlineStr">
        <is>
          <t>صاموله عجل</t>
        </is>
      </c>
      <c r="C8" s="118" t="inlineStr">
        <is>
          <t>NUT CONICAL M 10</t>
        </is>
      </c>
      <c r="D8" s="117" t="inlineStr">
        <is>
          <t>BF131486</t>
        </is>
      </c>
      <c r="E8" s="103" t="n">
        <v>6</v>
      </c>
    </row>
    <row r="9">
      <c r="A9" s="117" t="n">
        <v>2</v>
      </c>
      <c r="B9" s="118" t="inlineStr">
        <is>
          <t>زجاج باب أمامي شمال + فريم كامل</t>
        </is>
      </c>
      <c r="C9" s="132" t="inlineStr">
        <is>
          <t>FRAME DOOR FRONT LH</t>
        </is>
      </c>
      <c r="D9" s="132" t="inlineStr">
        <is>
          <t>BF243085</t>
        </is>
      </c>
      <c r="E9" s="103" t="n">
        <v>1</v>
      </c>
    </row>
    <row r="10">
      <c r="A10" s="117" t="n"/>
      <c r="B10" s="118" t="n"/>
      <c r="C10" s="132" t="inlineStr">
        <is>
          <t>BEADING FRONT LH LOWER</t>
        </is>
      </c>
      <c r="D10" s="132" t="inlineStr">
        <is>
          <t>BF243091</t>
        </is>
      </c>
      <c r="E10" s="103" t="n">
        <v>1</v>
      </c>
    </row>
    <row r="11">
      <c r="A11" s="117" t="n"/>
      <c r="B11" s="118" t="n"/>
      <c r="C11" s="132" t="inlineStr">
        <is>
          <t>GUIDE CHNL BEADING RR FRT</t>
        </is>
      </c>
      <c r="D11" s="132" t="inlineStr">
        <is>
          <t>BF243093</t>
        </is>
      </c>
      <c r="E11" s="103" t="n">
        <v>2</v>
      </c>
    </row>
    <row r="12">
      <c r="A12" s="117" t="n"/>
      <c r="B12" s="118" t="n"/>
      <c r="C12" s="132" t="inlineStr">
        <is>
          <t>ED COATED DOOR FRAME- FRT LH-BF243085</t>
        </is>
      </c>
      <c r="D12" s="132" t="inlineStr">
        <is>
          <t>52BF0689</t>
        </is>
      </c>
      <c r="E12" s="103" t="n">
        <v>1</v>
      </c>
    </row>
    <row r="13">
      <c r="A13" s="117" t="n"/>
      <c r="B13" s="118" t="n"/>
      <c r="C13" s="132" t="inlineStr">
        <is>
          <t>ASSLY CHANNEL QTR GLS MTG LH PAINT-BLACK</t>
        </is>
      </c>
      <c r="D13" s="132" t="inlineStr">
        <is>
          <t>56BF3R22</t>
        </is>
      </c>
      <c r="E13" s="103" t="n">
        <v>1</v>
      </c>
    </row>
    <row r="14">
      <c r="A14" s="117" t="n"/>
      <c r="B14" s="118" t="n"/>
      <c r="C14" s="132" t="inlineStr">
        <is>
          <t>CHANNEL GLASS DOOR FR LOWER LH</t>
        </is>
      </c>
      <c r="D14" s="132" t="inlineStr">
        <is>
          <t>BF243058</t>
        </is>
      </c>
      <c r="E14" s="103" t="n">
        <v>1</v>
      </c>
    </row>
    <row r="15">
      <c r="A15" s="117" t="n"/>
      <c r="B15" s="118" t="n"/>
      <c r="C15" s="132" t="inlineStr">
        <is>
          <t>COVER SLIDING FRT DOOR BTM LH</t>
        </is>
      </c>
      <c r="D15" s="132" t="inlineStr">
        <is>
          <t>BF243073</t>
        </is>
      </c>
      <c r="E15" s="103" t="n">
        <v>1</v>
      </c>
    </row>
    <row r="16">
      <c r="A16" s="117" t="n"/>
      <c r="B16" s="118" t="n"/>
      <c r="C16" s="132" t="inlineStr">
        <is>
          <t>LOCK RE60 SLIDING GLASS</t>
        </is>
      </c>
      <c r="D16" s="132" t="inlineStr">
        <is>
          <t>BF243066</t>
        </is>
      </c>
      <c r="E16" s="103" t="n">
        <v>2</v>
      </c>
    </row>
    <row r="17">
      <c r="A17" s="117" t="n"/>
      <c r="B17" s="118" t="n"/>
      <c r="C17" s="132" t="inlineStr">
        <is>
          <t>LATCH FRONT DOOR-REAR GLASS-LH</t>
        </is>
      </c>
      <c r="D17" s="132" t="inlineStr">
        <is>
          <t>BF243102</t>
        </is>
      </c>
      <c r="E17" s="103" t="n">
        <v>1</v>
      </c>
    </row>
    <row r="18">
      <c r="A18" s="117" t="n"/>
      <c r="B18" s="118" t="n"/>
      <c r="C18" s="132" t="inlineStr">
        <is>
          <t>LATCH FRONT DOOR-REAR GLASS-RH</t>
        </is>
      </c>
      <c r="D18" s="132" t="inlineStr">
        <is>
          <t>BF243103</t>
        </is>
      </c>
      <c r="E18" s="103" t="n">
        <v>1</v>
      </c>
    </row>
    <row r="19">
      <c r="A19" s="117" t="n"/>
      <c r="B19" s="118" t="n"/>
      <c r="C19" s="132" t="inlineStr">
        <is>
          <t>CHANNEL FRT DOOR SLIDING TOP LH</t>
        </is>
      </c>
      <c r="D19" s="132" t="inlineStr">
        <is>
          <t>BF243057</t>
        </is>
      </c>
      <c r="E19" s="103" t="n">
        <v>1</v>
      </c>
    </row>
    <row r="20">
      <c r="A20" s="117" t="n"/>
      <c r="B20" s="118" t="n"/>
      <c r="C20" s="132" t="inlineStr">
        <is>
          <t>CLIP</t>
        </is>
      </c>
      <c r="D20" s="132" t="inlineStr">
        <is>
          <t>BF241152</t>
        </is>
      </c>
      <c r="E20" s="103" t="n">
        <v>16</v>
      </c>
    </row>
    <row r="21">
      <c r="A21" s="117" t="n"/>
      <c r="B21" s="118" t="n"/>
      <c r="C21" s="131" t="inlineStr">
        <is>
          <t>GLASS WINDOW FRONT FRONT LH</t>
        </is>
      </c>
      <c r="D21" s="132" t="inlineStr">
        <is>
          <t>BF243049</t>
        </is>
      </c>
      <c r="E21" s="103" t="n">
        <v>1</v>
      </c>
    </row>
    <row r="22">
      <c r="A22" s="117" t="n"/>
      <c r="B22" s="118" t="n"/>
      <c r="C22" s="137" t="inlineStr">
        <is>
          <t>GLASS WINDOW FRONT REAR LH</t>
        </is>
      </c>
      <c r="D22" s="103" t="inlineStr">
        <is>
          <t>BF243050</t>
        </is>
      </c>
      <c r="E22" s="103" t="n">
        <v>1</v>
      </c>
    </row>
    <row r="23">
      <c r="A23" s="105" t="n">
        <v>3</v>
      </c>
      <c r="B23" s="108" t="inlineStr">
        <is>
          <t>مرايا شمال</t>
        </is>
      </c>
      <c r="C23" s="132" t="inlineStr">
        <is>
          <t>ORVM LH</t>
        </is>
      </c>
      <c r="D23" s="103" t="inlineStr">
        <is>
          <t>BF184637</t>
        </is>
      </c>
      <c r="E23" s="103" t="n">
        <v>1</v>
      </c>
    </row>
    <row r="24">
      <c r="A24" s="119" t="n">
        <v>4</v>
      </c>
      <c r="B24" s="120" t="inlineStr">
        <is>
          <t>كالون باب أمامي يمين</t>
        </is>
      </c>
      <c r="C24" s="120" t="n"/>
      <c r="D24" s="119" t="n"/>
      <c r="E24" s="139" t="n">
        <v>1</v>
      </c>
    </row>
    <row r="25" ht="28.5" customHeight="1" s="29">
      <c r="A25" s="105" t="n">
        <v>5</v>
      </c>
      <c r="B25" s="108" t="inlineStr">
        <is>
          <t>فبرة درج باب أمامي يمين</t>
        </is>
      </c>
      <c r="C25" s="108" t="inlineStr">
        <is>
          <t>DOOR TRIM PANEL FRONT RH</t>
        </is>
      </c>
      <c r="D25" s="105" t="inlineStr">
        <is>
          <t>BF182403</t>
        </is>
      </c>
      <c r="E25" s="105" t="n">
        <v>1</v>
      </c>
    </row>
    <row r="26">
      <c r="A26" s="105" t="n">
        <v>6</v>
      </c>
      <c r="B26" s="108" t="inlineStr">
        <is>
          <t>مروحه امامي</t>
        </is>
      </c>
      <c r="C26" s="121" t="inlineStr">
        <is>
          <t>FAN ASSEMBLY FRONT</t>
        </is>
      </c>
      <c r="D26" s="121" t="inlineStr">
        <is>
          <t>BF253489</t>
        </is>
      </c>
      <c r="E26" s="103" t="n">
        <v>1</v>
      </c>
    </row>
    <row r="27">
      <c r="A27" s="105" t="n"/>
      <c r="B27" s="108" t="inlineStr">
        <is>
          <t>مروحه خلفي</t>
        </is>
      </c>
      <c r="C27" s="121" t="inlineStr">
        <is>
          <t>FAN ASSEMBLY REAR</t>
        </is>
      </c>
      <c r="D27" s="121" t="inlineStr">
        <is>
          <t>BF253490</t>
        </is>
      </c>
      <c r="E27" s="103" t="n">
        <v>1</v>
      </c>
    </row>
    <row r="28">
      <c r="A28" s="119" t="n">
        <v>7</v>
      </c>
      <c r="B28" s="120" t="inlineStr">
        <is>
          <t>كالون باب خلفي يمين</t>
        </is>
      </c>
      <c r="C28" s="120" t="n"/>
      <c r="D28" s="119" t="n"/>
      <c r="E28" s="139" t="n">
        <v>1</v>
      </c>
    </row>
    <row r="29" ht="28.5" customHeight="1" s="29">
      <c r="A29" s="105" t="n">
        <v>8</v>
      </c>
      <c r="B29" s="108" t="inlineStr">
        <is>
          <t>افيز بطارية</t>
        </is>
      </c>
      <c r="C29" s="108" t="inlineStr">
        <is>
          <t>BRACKET CLAMP BATTERY</t>
        </is>
      </c>
      <c r="D29" s="105" t="inlineStr">
        <is>
          <t>BF211543</t>
        </is>
      </c>
      <c r="E29" s="103" t="n">
        <v>1</v>
      </c>
    </row>
    <row r="30" ht="28.5" customHeight="1" s="29">
      <c r="A30" s="105" t="n"/>
      <c r="B30" s="108" t="n"/>
      <c r="C30" s="123" t="inlineStr">
        <is>
          <t>ARRESTER BATTERY CLAMP ROD</t>
        </is>
      </c>
      <c r="D30" s="105" t="inlineStr">
        <is>
          <t>BF211544</t>
        </is>
      </c>
      <c r="E30" s="103" t="n">
        <v>1</v>
      </c>
    </row>
    <row r="31">
      <c r="A31" s="105" t="n"/>
      <c r="B31" s="108" t="n"/>
      <c r="C31" s="108" t="inlineStr">
        <is>
          <t>NUT HEX FLANGED</t>
        </is>
      </c>
      <c r="D31" s="105" t="inlineStr">
        <is>
          <t>KCGD0606</t>
        </is>
      </c>
      <c r="E31" s="103" t="n">
        <v>2</v>
      </c>
    </row>
    <row r="32">
      <c r="A32" s="105" t="n"/>
      <c r="B32" s="108" t="n"/>
      <c r="C32" s="108" t="inlineStr">
        <is>
          <t>BOLT FLANGED M6X1</t>
        </is>
      </c>
      <c r="D32" s="105" t="inlineStr">
        <is>
          <t>KADT0612</t>
        </is>
      </c>
      <c r="E32" s="103" t="n">
        <v>2</v>
      </c>
    </row>
    <row r="33">
      <c r="A33" s="151" t="n">
        <v>9</v>
      </c>
      <c r="B33" s="152" t="inlineStr">
        <is>
          <t>براكيت شالتة خلفي</t>
        </is>
      </c>
      <c r="C33" s="152" t="inlineStr">
        <is>
          <t>عموله</t>
        </is>
      </c>
      <c r="D33" s="151" t="n"/>
      <c r="E33" s="153" t="n">
        <v>2</v>
      </c>
    </row>
    <row r="34">
      <c r="A34" s="105" t="n">
        <v>10</v>
      </c>
      <c r="B34" s="108" t="inlineStr">
        <is>
          <t>لوك زجاج باب خلفي يمين خلفي</t>
        </is>
      </c>
      <c r="C34" s="108" t="inlineStr">
        <is>
          <t>LATCH GLASS DOOR REAR RH</t>
        </is>
      </c>
      <c r="D34" s="105" t="inlineStr">
        <is>
          <t>BF243105</t>
        </is>
      </c>
      <c r="E34" s="103" t="n">
        <v>1</v>
      </c>
    </row>
    <row r="35">
      <c r="A35" s="103" t="n"/>
      <c r="B35" s="103" t="n"/>
      <c r="C35" s="137" t="inlineStr">
        <is>
          <t>LATCH REAR DOOR-REAR GLASS-RH</t>
        </is>
      </c>
      <c r="D35" s="103" t="inlineStr">
        <is>
          <t>BF243107</t>
        </is>
      </c>
      <c r="E35" s="103" t="n">
        <v>1</v>
      </c>
    </row>
    <row r="36">
      <c r="A36" s="103" t="n"/>
      <c r="B36" s="103" t="n"/>
      <c r="C36" s="137" t="inlineStr">
        <is>
          <t>LATCH FRONT DOOR-REAR GLASS-RH</t>
        </is>
      </c>
      <c r="D36" s="103" t="inlineStr">
        <is>
          <t>BF243103</t>
        </is>
      </c>
      <c r="E36" s="103" t="n">
        <v>1</v>
      </c>
    </row>
    <row r="37">
      <c r="A37" s="103" t="n"/>
      <c r="B37" s="103" t="n"/>
      <c r="C37" s="103" t="inlineStr">
        <is>
          <t>LOCK RE60 SLIDING GLASS</t>
        </is>
      </c>
      <c r="D37" s="103" t="inlineStr">
        <is>
          <t>BF243066</t>
        </is>
      </c>
      <c r="E37" s="103" t="n">
        <v>8</v>
      </c>
    </row>
  </sheetData>
  <conditionalFormatting sqref="D26:D27">
    <cfRule type="duplicateValues" priority="2" dxfId="0"/>
  </conditionalFormatting>
  <conditionalFormatting sqref="D9:D21">
    <cfRule type="duplicateValues" priority="3" dxfId="0"/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rightToLeft="0" tabSelected="0" zoomScale="80" zoomScaleNormal="80" workbookViewId="0">
      <pane ySplit="7" topLeftCell="A8" activePane="bottomLeft" state="frozen"/>
      <selection activeCell="A1" sqref="A1"/>
      <selection pane="bottomLeft" activeCell="A8" sqref="A8"/>
    </sheetView>
  </sheetViews>
  <sheetFormatPr baseColWidth="8" defaultColWidth="8.7109375" defaultRowHeight="15"/>
  <cols>
    <col width="20" customWidth="1" style="29" min="1" max="1"/>
    <col width="58" customWidth="1" style="29" min="2" max="2"/>
    <col width="52" customWidth="1" style="29" min="3" max="3"/>
    <col width="16" customWidth="1" style="29" min="4" max="4"/>
    <col width="12.140625" customWidth="1" style="29" min="5" max="5"/>
  </cols>
  <sheetData>
    <row r="1">
      <c r="A1" s="114" t="inlineStr">
        <is>
          <t>Chassis No.</t>
        </is>
      </c>
      <c r="B1" s="108" t="inlineStr">
        <is>
          <t>MD2A68CX3TWB00523</t>
        </is>
      </c>
      <c r="C1" s="103" t="n"/>
      <c r="D1" s="103" t="n"/>
      <c r="E1" s="103" t="n"/>
    </row>
    <row r="2">
      <c r="A2" s="114" t="inlineStr">
        <is>
          <t>Engine No.</t>
        </is>
      </c>
      <c r="B2" s="108" t="inlineStr">
        <is>
          <t>BFXWTB2345</t>
        </is>
      </c>
      <c r="C2" s="103" t="n"/>
      <c r="D2" s="103" t="n"/>
      <c r="E2" s="103" t="n"/>
    </row>
    <row r="3">
      <c r="A3" s="114" t="inlineStr">
        <is>
          <t>Operating Status</t>
        </is>
      </c>
      <c r="B3" s="108" t="inlineStr">
        <is>
          <t>Running</t>
        </is>
      </c>
      <c r="C3" s="103" t="n"/>
      <c r="D3" s="103" t="n"/>
      <c r="E3" s="103" t="n"/>
    </row>
    <row r="4">
      <c r="A4" s="114" t="inlineStr">
        <is>
          <t>Date</t>
        </is>
      </c>
      <c r="B4" s="108" t="inlineStr">
        <is>
          <t>25/10/2026</t>
        </is>
      </c>
      <c r="C4" s="103" t="n"/>
      <c r="D4" s="103" t="n"/>
      <c r="E4" s="103" t="n"/>
    </row>
    <row r="5">
      <c r="A5" s="114" t="inlineStr">
        <is>
          <t>Color</t>
        </is>
      </c>
      <c r="B5" s="108" t="inlineStr">
        <is>
          <t>White</t>
        </is>
      </c>
      <c r="C5" s="103" t="n"/>
      <c r="D5" s="103" t="n"/>
      <c r="E5" s="103" t="n"/>
    </row>
    <row r="6">
      <c r="A6" s="103" t="n"/>
      <c r="B6" s="103" t="n"/>
      <c r="C6" s="103" t="n"/>
      <c r="D6" s="103" t="n"/>
      <c r="E6" s="103" t="n"/>
    </row>
    <row r="7">
      <c r="A7" s="102" t="inlineStr">
        <is>
          <t>No.</t>
        </is>
      </c>
      <c r="B7" s="102" t="inlineStr">
        <is>
          <t>Missing Part (Arabic)</t>
        </is>
      </c>
      <c r="C7" s="102" t="inlineStr">
        <is>
          <t>Part Name</t>
        </is>
      </c>
      <c r="D7" s="102" t="inlineStr">
        <is>
          <t>Part No.</t>
        </is>
      </c>
      <c r="E7" s="102" t="inlineStr">
        <is>
          <t>Quantity</t>
        </is>
      </c>
    </row>
    <row r="8" ht="28.5" customHeight="1" s="29">
      <c r="A8" s="105" t="n">
        <v>1</v>
      </c>
      <c r="B8" s="108" t="inlineStr">
        <is>
          <t>قفل زجاج باب أمامي شمال</t>
        </is>
      </c>
      <c r="C8" s="123" t="inlineStr">
        <is>
          <t>LATCH FRONT DOOR-REAR GLASS-LH</t>
        </is>
      </c>
      <c r="D8" s="105" t="inlineStr">
        <is>
          <t>BF243102</t>
        </is>
      </c>
      <c r="E8" s="103" t="n">
        <v>1</v>
      </c>
    </row>
    <row r="9" ht="28.5" customHeight="1" s="29">
      <c r="A9" s="105" t="n"/>
      <c r="B9" s="108" t="n"/>
      <c r="C9" s="108" t="inlineStr">
        <is>
          <t>LATCH GLASS DOOR REAR LH</t>
        </is>
      </c>
      <c r="D9" s="105" t="inlineStr">
        <is>
          <t>BF243104</t>
        </is>
      </c>
      <c r="E9" s="103" t="n">
        <v>1</v>
      </c>
    </row>
    <row r="10" ht="28.5" customHeight="1" s="29">
      <c r="A10" s="105" t="n"/>
      <c r="B10" s="108" t="n"/>
      <c r="C10" s="123" t="inlineStr">
        <is>
          <t>LATCH REAR DOOR-REAR GLASS-LH</t>
        </is>
      </c>
      <c r="D10" s="105" t="inlineStr">
        <is>
          <t>BF243106</t>
        </is>
      </c>
      <c r="E10" s="103" t="n">
        <v>1</v>
      </c>
    </row>
    <row r="11" ht="28.5" customHeight="1" s="29">
      <c r="A11" s="105" t="n"/>
      <c r="B11" s="108" t="n"/>
      <c r="C11" s="108" t="inlineStr">
        <is>
          <t>LOCK RE60 SLIDING GLASS</t>
        </is>
      </c>
      <c r="D11" s="105" t="inlineStr">
        <is>
          <t>BF243066</t>
        </is>
      </c>
      <c r="E11" s="103" t="n">
        <v>8</v>
      </c>
    </row>
    <row r="12" ht="28.5" customHeight="1" s="29">
      <c r="A12" s="105" t="n"/>
      <c r="B12" s="108" t="n"/>
      <c r="C12" s="108" t="inlineStr">
        <is>
          <t>SCREW TAPING PAN CROS- ST3.5XL5.5</t>
        </is>
      </c>
      <c r="D12" s="105" t="inlineStr">
        <is>
          <t>LBR00001</t>
        </is>
      </c>
      <c r="E12" s="103" t="n">
        <v>8</v>
      </c>
    </row>
    <row r="13" ht="28.5" customHeight="1" s="29">
      <c r="A13" s="105" t="n">
        <v>2</v>
      </c>
      <c r="B13" s="108" t="inlineStr">
        <is>
          <t>فبرة درج باب أمامي يمين</t>
        </is>
      </c>
      <c r="C13" s="108" t="inlineStr">
        <is>
          <t>DOOR TRIM PANEL FRONT RH</t>
        </is>
      </c>
      <c r="D13" s="105" t="inlineStr">
        <is>
          <t>BF182403</t>
        </is>
      </c>
      <c r="E13" s="105" t="n">
        <v>1</v>
      </c>
    </row>
    <row r="14">
      <c r="A14" s="105" t="n">
        <v>3</v>
      </c>
      <c r="B14" s="120" t="inlineStr">
        <is>
          <t>كالون باب خلفي يمين</t>
        </is>
      </c>
      <c r="C14" s="120" t="n"/>
      <c r="D14" s="119" t="n"/>
      <c r="E14" s="139" t="n">
        <v>1</v>
      </c>
    </row>
    <row r="15">
      <c r="A15" s="105" t="n">
        <v>4</v>
      </c>
      <c r="B15" s="108" t="inlineStr">
        <is>
          <t>طبة عتبة يمين</t>
        </is>
      </c>
      <c r="C15" s="121" t="inlineStr">
        <is>
          <t>CAP TR ARM MOUNTING RH</t>
        </is>
      </c>
      <c r="D15" s="121" t="inlineStr">
        <is>
          <t>BF185011</t>
        </is>
      </c>
      <c r="E15" s="103" t="n">
        <v>1</v>
      </c>
    </row>
    <row r="16">
      <c r="A16" s="105" t="n"/>
      <c r="B16" s="108" t="n"/>
      <c r="C16" s="108" t="n"/>
      <c r="D16" s="105" t="n"/>
      <c r="E16" s="103" t="n"/>
    </row>
  </sheetData>
  <conditionalFormatting sqref="D15">
    <cfRule type="duplicateValues" priority="2" dxfId="0"/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8"/>
  <sheetViews>
    <sheetView rightToLeft="0" tabSelected="0" zoomScale="60" zoomScaleNormal="60" workbookViewId="0">
      <pane ySplit="7" topLeftCell="A8" activePane="bottomLeft" state="frozen"/>
      <selection activeCell="A1" sqref="A1"/>
      <selection pane="bottomLeft" activeCell="A8" sqref="A8"/>
    </sheetView>
  </sheetViews>
  <sheetFormatPr baseColWidth="8" defaultColWidth="8.7109375" defaultRowHeight="15"/>
  <cols>
    <col width="20" customWidth="1" style="29" min="1" max="1"/>
    <col width="58" customWidth="1" style="29" min="2" max="2"/>
    <col width="52" customWidth="1" style="29" min="3" max="3"/>
    <col width="16" customWidth="1" style="29" min="4" max="4"/>
    <col width="38.85546875" customWidth="1" style="29" min="5" max="5"/>
  </cols>
  <sheetData>
    <row r="1">
      <c r="A1" s="114" t="inlineStr">
        <is>
          <t>Chassis No.</t>
        </is>
      </c>
      <c r="B1" s="108" t="inlineStr">
        <is>
          <t>MD2A68CX4TWM00097</t>
        </is>
      </c>
      <c r="C1" s="103" t="n"/>
      <c r="D1" s="103" t="n"/>
      <c r="E1" s="103" t="n"/>
      <c r="F1" s="103" t="n"/>
    </row>
    <row r="2">
      <c r="A2" s="114" t="inlineStr">
        <is>
          <t>Engine No.</t>
        </is>
      </c>
      <c r="B2" s="154" t="inlineStr">
        <is>
          <t>BFXWTM21314</t>
        </is>
      </c>
      <c r="C2" s="155" t="n"/>
      <c r="D2" s="156" t="n"/>
      <c r="E2" s="156" t="n"/>
      <c r="F2" s="148" t="n"/>
    </row>
    <row r="3">
      <c r="A3" s="114" t="inlineStr">
        <is>
          <t>Operating Status</t>
        </is>
      </c>
      <c r="B3" s="154" t="inlineStr">
        <is>
          <t>Engine is at the service center</t>
        </is>
      </c>
      <c r="C3" s="155" t="n"/>
      <c r="D3" s="156" t="n"/>
      <c r="E3" s="156" t="n"/>
      <c r="F3" s="148" t="n"/>
    </row>
    <row r="4">
      <c r="A4" s="114" t="inlineStr">
        <is>
          <t>Date</t>
        </is>
      </c>
      <c r="B4" s="154" t="inlineStr">
        <is>
          <t>25/10/2026</t>
        </is>
      </c>
      <c r="C4" s="156" t="n"/>
      <c r="D4" s="156" t="n"/>
      <c r="E4" s="156" t="n"/>
      <c r="F4" s="148" t="n"/>
    </row>
    <row r="5">
      <c r="A5" s="114" t="inlineStr">
        <is>
          <t>Color</t>
        </is>
      </c>
      <c r="B5" s="154" t="inlineStr">
        <is>
          <t>White</t>
        </is>
      </c>
      <c r="C5" s="156" t="n"/>
      <c r="D5" s="156" t="n"/>
      <c r="E5" s="156" t="n"/>
      <c r="F5" s="148" t="n"/>
    </row>
    <row r="6">
      <c r="A6" s="103" t="n"/>
      <c r="B6" s="103" t="n"/>
      <c r="C6" s="103" t="n"/>
      <c r="D6" s="103" t="n"/>
      <c r="E6" s="103" t="n"/>
      <c r="F6" s="103" t="n"/>
    </row>
    <row r="7">
      <c r="A7" s="102" t="inlineStr">
        <is>
          <t>No.</t>
        </is>
      </c>
      <c r="B7" s="102" t="inlineStr">
        <is>
          <t>Missing Part (Arabic)</t>
        </is>
      </c>
      <c r="C7" s="102" t="inlineStr">
        <is>
          <t>Part Name</t>
        </is>
      </c>
      <c r="D7" s="102" t="inlineStr">
        <is>
          <t>Part No.</t>
        </is>
      </c>
      <c r="E7" s="102" t="inlineStr">
        <is>
          <t>Quantity</t>
        </is>
      </c>
      <c r="F7" s="103" t="n"/>
    </row>
    <row r="8">
      <c r="A8" s="105" t="n">
        <v>1</v>
      </c>
      <c r="B8" s="108" t="inlineStr">
        <is>
          <t>فانوس أمامي يمين</t>
        </is>
      </c>
      <c r="C8" s="157" t="inlineStr">
        <is>
          <t>HEAD LAMP RH ASYM BEAM LHD 60 55W</t>
        </is>
      </c>
      <c r="D8" s="121" t="inlineStr">
        <is>
          <t>BF401136</t>
        </is>
      </c>
      <c r="E8" s="103" t="n">
        <v>1</v>
      </c>
      <c r="F8" s="103" t="n"/>
    </row>
    <row r="9" ht="28.5" customHeight="1" s="29">
      <c r="A9" s="105" t="n">
        <v>2</v>
      </c>
      <c r="B9" s="108" t="inlineStr">
        <is>
          <t>كابترة أمامي يمين علوية</t>
        </is>
      </c>
      <c r="C9" s="108" t="inlineStr">
        <is>
          <t>GUARD SPLASH FRONT RH UPPER</t>
        </is>
      </c>
      <c r="D9" s="105" t="inlineStr">
        <is>
          <t>BF185025</t>
        </is>
      </c>
      <c r="E9" s="105" t="n">
        <v>1</v>
      </c>
      <c r="F9" s="103" t="n"/>
    </row>
    <row r="10">
      <c r="A10" s="105" t="n">
        <v>3</v>
      </c>
      <c r="B10" s="108" t="inlineStr">
        <is>
          <t>مرايا شمال</t>
        </is>
      </c>
      <c r="C10" s="132" t="inlineStr">
        <is>
          <t>ORVM LH</t>
        </is>
      </c>
      <c r="D10" s="103" t="inlineStr">
        <is>
          <t>BF184637</t>
        </is>
      </c>
      <c r="E10" s="103" t="n">
        <v>1</v>
      </c>
      <c r="F10" s="103" t="n"/>
    </row>
    <row r="11">
      <c r="A11" s="105" t="n"/>
      <c r="B11" s="108" t="inlineStr">
        <is>
          <t>مرايا يمين</t>
        </is>
      </c>
      <c r="C11" s="108" t="inlineStr">
        <is>
          <t>ORVM RH</t>
        </is>
      </c>
      <c r="D11" s="105" t="inlineStr">
        <is>
          <t>BF184638</t>
        </is>
      </c>
      <c r="E11" s="103" t="n">
        <v>1</v>
      </c>
      <c r="F11" s="103" t="n"/>
    </row>
    <row r="12">
      <c r="A12" s="105" t="n">
        <v>4</v>
      </c>
      <c r="B12" s="120" t="inlineStr">
        <is>
          <t>كالون باب أمامي يمين</t>
        </is>
      </c>
      <c r="C12" s="120" t="n"/>
      <c r="D12" s="119" t="n"/>
      <c r="E12" s="139" t="n">
        <v>1</v>
      </c>
      <c r="F12" s="103" t="n"/>
    </row>
    <row r="13" ht="28.5" customHeight="1" s="29">
      <c r="A13" s="105" t="n">
        <v>5</v>
      </c>
      <c r="B13" s="108" t="inlineStr">
        <is>
          <t>فبرة زجاج باب أمامي يمين سفليه</t>
        </is>
      </c>
      <c r="C13" s="108" t="inlineStr">
        <is>
          <t>COVER SLIDING FRT DOOR BTM RH</t>
        </is>
      </c>
      <c r="D13" s="105" t="inlineStr">
        <is>
          <t>BF243074</t>
        </is>
      </c>
      <c r="E13" s="105" t="n">
        <v>1</v>
      </c>
      <c r="F13" s="103" t="n"/>
    </row>
    <row r="14" ht="33" customHeight="1" s="29">
      <c r="A14" s="105" t="n">
        <v>6</v>
      </c>
      <c r="B14" s="108" t="inlineStr">
        <is>
          <t>زجاج باب أمامي شمال + فريم كامل + جوانات + فبرة زجاج</t>
        </is>
      </c>
      <c r="C14" s="132" t="inlineStr">
        <is>
          <t>FRAME DOOR FRONT LH</t>
        </is>
      </c>
      <c r="D14" s="132" t="inlineStr">
        <is>
          <t>BF243085</t>
        </is>
      </c>
      <c r="E14" s="103" t="n">
        <v>1</v>
      </c>
      <c r="F14" s="103" t="n"/>
    </row>
    <row r="15">
      <c r="A15" s="105" t="n"/>
      <c r="B15" s="108" t="n"/>
      <c r="C15" s="132" t="inlineStr">
        <is>
          <t>BEADING FRONT LH LOWER</t>
        </is>
      </c>
      <c r="D15" s="132" t="inlineStr">
        <is>
          <t>BF243091</t>
        </is>
      </c>
      <c r="E15" s="103" t="n">
        <v>1</v>
      </c>
      <c r="F15" s="103" t="n"/>
    </row>
    <row r="16">
      <c r="A16" s="105" t="n"/>
      <c r="B16" s="108" t="n"/>
      <c r="C16" s="132" t="inlineStr">
        <is>
          <t>GUIDE CHNL BEADING RR FRT</t>
        </is>
      </c>
      <c r="D16" s="132" t="inlineStr">
        <is>
          <t>BF243093</t>
        </is>
      </c>
      <c r="E16" s="103" t="n">
        <v>2</v>
      </c>
      <c r="F16" s="103" t="n"/>
    </row>
    <row r="17">
      <c r="A17" s="105" t="n"/>
      <c r="B17" s="108" t="n"/>
      <c r="C17" s="131" t="inlineStr">
        <is>
          <t>ED COATED DOOR FRAME- FRT LH-BF243085</t>
        </is>
      </c>
      <c r="D17" s="132" t="inlineStr">
        <is>
          <t>52BF0689</t>
        </is>
      </c>
      <c r="E17" s="103" t="n">
        <v>1</v>
      </c>
      <c r="F17" s="103" t="n"/>
    </row>
    <row r="18">
      <c r="A18" s="105" t="n"/>
      <c r="B18" s="108" t="n"/>
      <c r="C18" s="131" t="inlineStr">
        <is>
          <t>ASSLY CHANNEL QTR GLS MTG LH PAINT-BLACK</t>
        </is>
      </c>
      <c r="D18" s="132" t="inlineStr">
        <is>
          <t>56BF3R22</t>
        </is>
      </c>
      <c r="E18" s="103" t="n">
        <v>1</v>
      </c>
      <c r="F18" s="103" t="n"/>
    </row>
    <row r="19">
      <c r="A19" s="105" t="n"/>
      <c r="B19" s="108" t="n"/>
      <c r="C19" s="131" t="inlineStr">
        <is>
          <t>CHANNEL GLASS DOOR FR LOWER LH</t>
        </is>
      </c>
      <c r="D19" s="132" t="inlineStr">
        <is>
          <t>BF243058</t>
        </is>
      </c>
      <c r="E19" s="103" t="n">
        <v>1</v>
      </c>
      <c r="F19" s="103" t="n"/>
    </row>
    <row r="20">
      <c r="A20" s="105" t="n"/>
      <c r="B20" s="108" t="n"/>
      <c r="C20" s="131" t="inlineStr">
        <is>
          <t>COVER SLIDING FRT DOOR BTM LH</t>
        </is>
      </c>
      <c r="D20" s="132" t="inlineStr">
        <is>
          <t>BF243073</t>
        </is>
      </c>
      <c r="E20" s="103" t="n">
        <v>1</v>
      </c>
      <c r="F20" s="103" t="n"/>
    </row>
    <row r="21">
      <c r="A21" s="105" t="n"/>
      <c r="B21" s="108" t="n"/>
      <c r="C21" s="136" t="inlineStr">
        <is>
          <t>LOCK RE60 SLIDING GLASS</t>
        </is>
      </c>
      <c r="D21" s="132" t="inlineStr">
        <is>
          <t>BF243066</t>
        </is>
      </c>
      <c r="E21" s="103" t="n">
        <v>2</v>
      </c>
      <c r="F21" s="103" t="n"/>
    </row>
    <row r="22">
      <c r="A22" s="105" t="n"/>
      <c r="B22" s="108" t="n"/>
      <c r="C22" s="131" t="inlineStr">
        <is>
          <t>LATCH FRONT DOOR-REAR GLASS-LH</t>
        </is>
      </c>
      <c r="D22" s="132" t="inlineStr">
        <is>
          <t>BF243102</t>
        </is>
      </c>
      <c r="E22" s="103" t="n">
        <v>1</v>
      </c>
      <c r="F22" s="103" t="n"/>
    </row>
    <row r="23">
      <c r="A23" s="105" t="n"/>
      <c r="B23" s="108" t="n"/>
      <c r="C23" s="131" t="inlineStr">
        <is>
          <t>LATCH FRONT DOOR-REAR GLASS-RH</t>
        </is>
      </c>
      <c r="D23" s="132" t="inlineStr">
        <is>
          <t>BF243103</t>
        </is>
      </c>
      <c r="E23" s="103" t="n">
        <v>1</v>
      </c>
      <c r="F23" s="103" t="n"/>
    </row>
    <row r="24">
      <c r="A24" s="105" t="n"/>
      <c r="B24" s="108" t="n"/>
      <c r="C24" s="131" t="inlineStr">
        <is>
          <t>CHANNEL FRT DOOR SLIDING TOP LH</t>
        </is>
      </c>
      <c r="D24" s="132" t="inlineStr">
        <is>
          <t>BF243057</t>
        </is>
      </c>
      <c r="E24" s="103" t="n">
        <v>1</v>
      </c>
      <c r="F24" s="103" t="n"/>
    </row>
    <row r="25">
      <c r="A25" s="105" t="n"/>
      <c r="B25" s="108" t="n"/>
      <c r="C25" s="136" t="inlineStr">
        <is>
          <t>CLIP</t>
        </is>
      </c>
      <c r="D25" s="132" t="inlineStr">
        <is>
          <t>BF241152</t>
        </is>
      </c>
      <c r="E25" s="103" t="n">
        <v>16</v>
      </c>
      <c r="F25" s="103" t="n"/>
    </row>
    <row r="26">
      <c r="A26" s="105" t="n"/>
      <c r="B26" s="108" t="n"/>
      <c r="C26" s="131" t="inlineStr">
        <is>
          <t>GLASS WINDOW FRONT FRONT LH</t>
        </is>
      </c>
      <c r="D26" s="132" t="inlineStr">
        <is>
          <t>BF243049</t>
        </is>
      </c>
      <c r="E26" s="103" t="n">
        <v>1</v>
      </c>
      <c r="F26" s="103" t="n"/>
    </row>
    <row r="27">
      <c r="A27" s="105" t="n"/>
      <c r="B27" s="108" t="n"/>
      <c r="C27" s="137" t="inlineStr">
        <is>
          <t>GLASS WINDOW FRONT REAR LH</t>
        </is>
      </c>
      <c r="D27" s="103" t="inlineStr">
        <is>
          <t>BF243050</t>
        </is>
      </c>
      <c r="E27" s="103" t="n">
        <v>1</v>
      </c>
      <c r="F27" s="103" t="n"/>
    </row>
    <row r="28" ht="33" customHeight="1" s="29">
      <c r="A28" s="105" t="n">
        <v>7</v>
      </c>
      <c r="B28" s="108" t="inlineStr">
        <is>
          <t>باب خلفي يمين كامل + زجاج + فريم + فبرة زجاج + جوانات</t>
        </is>
      </c>
      <c r="C28" s="133" t="inlineStr">
        <is>
          <t>ASSEMBLY REAR DOOR COMP RH WHITE</t>
        </is>
      </c>
      <c r="D28" s="103" t="inlineStr">
        <is>
          <t>52BF0102</t>
        </is>
      </c>
      <c r="E28" s="103" t="n">
        <v>1</v>
      </c>
      <c r="F28" s="103" t="n"/>
    </row>
    <row r="29">
      <c r="A29" s="105" t="n">
        <v>8</v>
      </c>
      <c r="B29" s="108" t="inlineStr">
        <is>
          <t>حزام خلفي</t>
        </is>
      </c>
      <c r="C29" s="121" t="inlineStr">
        <is>
          <t>BELT ASSEMBLY SEAT REAR</t>
        </is>
      </c>
      <c r="D29" s="121" t="inlineStr">
        <is>
          <t>BF182635</t>
        </is>
      </c>
      <c r="E29" s="103" t="n">
        <v>1</v>
      </c>
      <c r="F29" s="103" t="n"/>
    </row>
    <row r="30">
      <c r="A30" s="105" t="n"/>
      <c r="B30" s="108" t="inlineStr">
        <is>
          <t>حزام أمامي</t>
        </is>
      </c>
      <c r="C30" s="121" t="inlineStr">
        <is>
          <t>BELT ASSEMBLY SEAT FRONT</t>
        </is>
      </c>
      <c r="D30" s="121" t="inlineStr">
        <is>
          <t>BF182634</t>
        </is>
      </c>
      <c r="E30" s="103" t="n">
        <v>1</v>
      </c>
      <c r="F30" s="103" t="n"/>
    </row>
    <row r="31">
      <c r="A31" s="105" t="n"/>
      <c r="B31" s="121" t="inlineStr">
        <is>
          <t>فيبرة حزام خلفى يمين</t>
        </is>
      </c>
      <c r="C31" s="121" t="inlineStr">
        <is>
          <t>SEAT BELT ELR REAR COVER RH</t>
        </is>
      </c>
      <c r="D31" s="121" t="inlineStr">
        <is>
          <t>BF182624</t>
        </is>
      </c>
      <c r="E31" s="103" t="n">
        <v>1</v>
      </c>
      <c r="F31" s="103" t="n"/>
    </row>
    <row r="32">
      <c r="A32" s="105" t="n"/>
      <c r="B32" s="121" t="inlineStr">
        <is>
          <t>فيبرة حزام خلفى شمال</t>
        </is>
      </c>
      <c r="C32" s="121" t="inlineStr">
        <is>
          <t>SEAT BELT ELR REAR COVER LH</t>
        </is>
      </c>
      <c r="D32" s="121" t="inlineStr">
        <is>
          <t>BF182625</t>
        </is>
      </c>
      <c r="E32" s="103" t="n">
        <v>1</v>
      </c>
      <c r="F32" s="103" t="n"/>
    </row>
    <row r="33" ht="28.5" customHeight="1" s="29">
      <c r="A33" s="105" t="n">
        <v>9</v>
      </c>
      <c r="B33" s="108" t="inlineStr">
        <is>
          <t>مفتاح انتظار</t>
        </is>
      </c>
      <c r="C33" s="108" t="inlineStr">
        <is>
          <t>SWITCH HAZARD WITH ILLUMINATION</t>
        </is>
      </c>
      <c r="D33" s="105" t="inlineStr">
        <is>
          <t>BF401444</t>
        </is>
      </c>
      <c r="E33" s="103" t="n">
        <v>1</v>
      </c>
      <c r="F33" s="103" t="n"/>
    </row>
    <row r="34">
      <c r="A34" s="105" t="n"/>
      <c r="B34" s="108" t="inlineStr">
        <is>
          <t>وش مفتاح إنذار</t>
        </is>
      </c>
      <c r="C34" s="108" t="inlineStr">
        <is>
          <t>HOUSING SWITCH LHD</t>
        </is>
      </c>
      <c r="D34" s="105" t="inlineStr">
        <is>
          <t>BF182300</t>
        </is>
      </c>
      <c r="E34" s="103" t="n">
        <v>1</v>
      </c>
      <c r="F34" s="103" t="n"/>
    </row>
    <row r="35">
      <c r="A35" s="105" t="n">
        <v>10</v>
      </c>
      <c r="B35" s="108" t="inlineStr">
        <is>
          <t>طبة عتبة يمين</t>
        </is>
      </c>
      <c r="C35" s="121" t="inlineStr">
        <is>
          <t>CAP TR ARM MOUNTING RH</t>
        </is>
      </c>
      <c r="D35" s="121" t="inlineStr">
        <is>
          <t>BF185011</t>
        </is>
      </c>
      <c r="E35" s="103" t="n">
        <v>1</v>
      </c>
      <c r="F35" s="103" t="n"/>
    </row>
    <row r="36">
      <c r="A36" s="105" t="n">
        <v>11</v>
      </c>
      <c r="B36" s="108" t="inlineStr">
        <is>
          <t>كابترة خلفي يمين أمامي</t>
        </is>
      </c>
      <c r="C36" s="121" t="inlineStr">
        <is>
          <t>GUARD SPLASH REAR RH FRONT</t>
        </is>
      </c>
      <c r="D36" s="121" t="inlineStr">
        <is>
          <t>BF185077</t>
        </is>
      </c>
      <c r="E36" s="103" t="n">
        <v>1</v>
      </c>
      <c r="F36" s="103" t="n"/>
    </row>
    <row r="37">
      <c r="A37" s="105" t="n">
        <v>12</v>
      </c>
      <c r="B37" s="108" t="inlineStr">
        <is>
          <t>دلايه خلفي شمال</t>
        </is>
      </c>
      <c r="C37" s="108" t="inlineStr">
        <is>
          <t>MUDFLAP REAR LH</t>
        </is>
      </c>
      <c r="D37" s="105" t="inlineStr">
        <is>
          <t>BF185069</t>
        </is>
      </c>
      <c r="E37" s="103" t="n">
        <v>1</v>
      </c>
      <c r="F37" s="103" t="n"/>
    </row>
    <row r="38">
      <c r="A38" s="105" t="n"/>
      <c r="B38" s="108" t="inlineStr">
        <is>
          <t>دلايه خلفي يمين</t>
        </is>
      </c>
      <c r="C38" s="108" t="inlineStr">
        <is>
          <t>MUDFLAP REAR RH</t>
        </is>
      </c>
      <c r="D38" s="105" t="inlineStr">
        <is>
          <t>BF185068</t>
        </is>
      </c>
      <c r="E38" s="103" t="n">
        <v>1</v>
      </c>
      <c r="F38" s="103" t="n"/>
    </row>
    <row r="39" ht="231.75" customHeight="1" s="29">
      <c r="A39" s="127" t="n">
        <v>13</v>
      </c>
      <c r="B39" s="112" t="inlineStr">
        <is>
          <t>كاتم صوت فلتر الهواء</t>
        </is>
      </c>
      <c r="C39" s="112" t="n"/>
      <c r="D39" s="127" t="n"/>
      <c r="E39" s="128" t="n"/>
      <c r="F39" s="103" t="n"/>
    </row>
    <row r="40" ht="28.5" customHeight="1" s="29">
      <c r="A40" s="105" t="n">
        <v>14</v>
      </c>
      <c r="B40" s="108" t="inlineStr">
        <is>
          <t>افيز بطارية</t>
        </is>
      </c>
      <c r="C40" s="108" t="inlineStr">
        <is>
          <t>BRACKET CLAMP BATTERY</t>
        </is>
      </c>
      <c r="D40" s="105" t="inlineStr">
        <is>
          <t>BF211543</t>
        </is>
      </c>
      <c r="E40" s="103" t="n">
        <v>1</v>
      </c>
      <c r="F40" s="103" t="n"/>
    </row>
    <row r="41" ht="28.5" customHeight="1" s="29">
      <c r="A41" s="105" t="n"/>
      <c r="B41" s="108" t="n"/>
      <c r="C41" s="123" t="inlineStr">
        <is>
          <t>ARRESTER BATTERY CLAMP ROD</t>
        </is>
      </c>
      <c r="D41" s="105" t="inlineStr">
        <is>
          <t>BF211544</t>
        </is>
      </c>
      <c r="E41" s="103" t="n">
        <v>1</v>
      </c>
      <c r="F41" s="103" t="n"/>
    </row>
    <row r="42">
      <c r="A42" s="105" t="n"/>
      <c r="B42" s="108" t="n"/>
      <c r="C42" s="108" t="inlineStr">
        <is>
          <t>NUT HEX FLANGED</t>
        </is>
      </c>
      <c r="D42" s="105" t="inlineStr">
        <is>
          <t>KCGD0606</t>
        </is>
      </c>
      <c r="E42" s="103" t="n">
        <v>2</v>
      </c>
      <c r="F42" s="103" t="n"/>
    </row>
    <row r="43">
      <c r="A43" s="105" t="n"/>
      <c r="B43" s="108" t="n"/>
      <c r="C43" s="108" t="inlineStr">
        <is>
          <t>BOLT FLANGED M6X1</t>
        </is>
      </c>
      <c r="D43" s="105" t="inlineStr">
        <is>
          <t>KADT0612</t>
        </is>
      </c>
      <c r="E43" s="103" t="n">
        <v>2</v>
      </c>
      <c r="F43" s="103" t="n"/>
    </row>
    <row r="44">
      <c r="A44" s="105" t="n"/>
      <c r="B44" s="108" t="n"/>
      <c r="C44" s="108" t="n"/>
      <c r="D44" s="105" t="n"/>
      <c r="E44" s="103" t="n"/>
      <c r="F44" s="103" t="n"/>
    </row>
    <row r="45">
      <c r="A45" s="117" t="n">
        <v>15</v>
      </c>
      <c r="B45" s="118" t="inlineStr">
        <is>
          <t>كوبلين خلفي شمال</t>
        </is>
      </c>
      <c r="C45" s="118" t="inlineStr">
        <is>
          <t>SHAFT ASSEMBLY DRIVE</t>
        </is>
      </c>
      <c r="D45" s="117" t="inlineStr">
        <is>
          <t>BF551807</t>
        </is>
      </c>
      <c r="E45" s="103" t="n">
        <v>1</v>
      </c>
      <c r="F45" s="103" t="n"/>
    </row>
    <row r="46">
      <c r="A46" s="117" t="n"/>
      <c r="B46" s="108" t="inlineStr">
        <is>
          <t>فبرة كونسولة</t>
        </is>
      </c>
      <c r="C46" s="121" t="inlineStr">
        <is>
          <t>COVER MIDDLE UPPER CNG</t>
        </is>
      </c>
      <c r="D46" s="121" t="inlineStr">
        <is>
          <t>BF182588</t>
        </is>
      </c>
      <c r="E46" s="103" t="n">
        <v>1</v>
      </c>
      <c r="F46" s="103" t="n"/>
    </row>
    <row r="47">
      <c r="A47" s="105" t="n">
        <v>16</v>
      </c>
      <c r="B47" s="108" t="inlineStr">
        <is>
          <t>براكيت ماتور + المسامير</t>
        </is>
      </c>
      <c r="C47" s="108" t="inlineStr">
        <is>
          <t>BRACKET RR ENG SIDE 200CC</t>
        </is>
      </c>
      <c r="D47" s="105" t="inlineStr">
        <is>
          <t>BF113435</t>
        </is>
      </c>
      <c r="E47" s="148" t="n">
        <v>1</v>
      </c>
      <c r="F47" s="103" t="n"/>
    </row>
    <row r="48">
      <c r="A48" s="105" t="n"/>
      <c r="B48" s="108" t="n"/>
      <c r="C48" s="123" t="inlineStr">
        <is>
          <t>ISOLATOR ASSEMBLY FRONT</t>
        </is>
      </c>
      <c r="D48" s="105" t="inlineStr">
        <is>
          <t>BF113461</t>
        </is>
      </c>
      <c r="E48" s="148" t="n">
        <v>1</v>
      </c>
      <c r="F48" s="103" t="n"/>
    </row>
    <row r="49">
      <c r="A49" s="117" t="n">
        <v>17</v>
      </c>
      <c r="B49" s="108" t="inlineStr">
        <is>
          <t>رشاش بنزين</t>
        </is>
      </c>
      <c r="C49" s="108" t="inlineStr">
        <is>
          <t>FUEL INJECTOR</t>
        </is>
      </c>
      <c r="D49" s="105" t="inlineStr">
        <is>
          <t>JG611007</t>
        </is>
      </c>
      <c r="E49" s="103" t="n">
        <v>1</v>
      </c>
      <c r="F49" s="103" t="n"/>
    </row>
    <row r="50">
      <c r="A50" s="117" t="n"/>
      <c r="B50" s="108" t="n"/>
      <c r="C50" s="108" t="inlineStr">
        <is>
          <t>CLIP INJECTOR CLIP</t>
        </is>
      </c>
      <c r="D50" s="105" t="inlineStr">
        <is>
          <t>JG611006</t>
        </is>
      </c>
      <c r="E50" s="103" t="n">
        <v>1</v>
      </c>
      <c r="F50" s="103" t="n"/>
    </row>
    <row r="51">
      <c r="A51" s="117" t="n"/>
      <c r="B51" s="108" t="n"/>
      <c r="C51" s="108" t="inlineStr">
        <is>
          <t>ASSEMBLY INJECTOR CAP</t>
        </is>
      </c>
      <c r="D51" s="105" t="inlineStr">
        <is>
          <t>BF611012</t>
        </is>
      </c>
      <c r="E51" s="103" t="n">
        <v>1</v>
      </c>
      <c r="F51" s="103" t="n"/>
    </row>
    <row r="52">
      <c r="A52" s="117" t="n"/>
      <c r="B52" s="108" t="n"/>
      <c r="C52" s="108" t="inlineStr">
        <is>
          <t>FIXING SCREW</t>
        </is>
      </c>
      <c r="D52" s="105" t="inlineStr">
        <is>
          <t>JG581424</t>
        </is>
      </c>
      <c r="E52" s="103" t="n">
        <v>1</v>
      </c>
      <c r="F52" s="103" t="n"/>
    </row>
    <row r="53">
      <c r="A53" s="117" t="n"/>
      <c r="B53" s="108" t="n"/>
      <c r="C53" s="123" t="inlineStr">
        <is>
          <t>BOLT-FLANGE-KAE ST-D DIA-06 L-25</t>
        </is>
      </c>
      <c r="D53" s="105" t="inlineStr">
        <is>
          <t>KAED0625</t>
        </is>
      </c>
      <c r="E53" s="103" t="n">
        <v>2</v>
      </c>
      <c r="F53" s="103" t="n"/>
    </row>
    <row r="54">
      <c r="A54" s="117" t="n"/>
      <c r="B54" s="118" t="inlineStr">
        <is>
          <t>منفولد</t>
        </is>
      </c>
      <c r="C54" s="138" t="inlineStr">
        <is>
          <t>MANIFOLD INTAKE</t>
        </is>
      </c>
      <c r="D54" s="117" t="inlineStr">
        <is>
          <t>BF581420</t>
        </is>
      </c>
      <c r="E54" s="103" t="n">
        <v>1</v>
      </c>
      <c r="F54" s="103" t="n"/>
    </row>
    <row r="55">
      <c r="A55" s="105" t="n">
        <v>18</v>
      </c>
      <c r="B55" s="118" t="n"/>
      <c r="C55" s="118" t="inlineStr">
        <is>
          <t>SLEEVE MANIFOLD</t>
        </is>
      </c>
      <c r="D55" s="117" t="inlineStr">
        <is>
          <t>BF581419</t>
        </is>
      </c>
      <c r="E55" s="103" t="n">
        <v>1</v>
      </c>
      <c r="F55" s="103" t="n"/>
    </row>
    <row r="56">
      <c r="A56" s="105" t="n"/>
      <c r="B56" s="118" t="n"/>
      <c r="C56" s="118" t="inlineStr">
        <is>
          <t>CLAMP</t>
        </is>
      </c>
      <c r="D56" s="117" t="inlineStr">
        <is>
          <t>JG581442</t>
        </is>
      </c>
      <c r="E56" s="103" t="n">
        <v>1</v>
      </c>
      <c r="F56" s="103" t="n"/>
    </row>
    <row r="57">
      <c r="A57" s="105" t="n"/>
      <c r="B57" s="118" t="n"/>
      <c r="C57" s="118" t="inlineStr">
        <is>
          <t>CLAMP CONNECTING TUBE</t>
        </is>
      </c>
      <c r="D57" s="117" t="inlineStr">
        <is>
          <t>JU581006</t>
        </is>
      </c>
      <c r="E57" s="103" t="n">
        <v>1</v>
      </c>
      <c r="F57" s="103" t="n"/>
    </row>
    <row r="58">
      <c r="A58" s="105" t="n"/>
      <c r="B58" s="108" t="inlineStr">
        <is>
          <t>بوابه</t>
        </is>
      </c>
      <c r="C58" s="108" t="inlineStr">
        <is>
          <t>BODY THROTTLE ASSEMBLY</t>
        </is>
      </c>
      <c r="D58" s="105" t="inlineStr">
        <is>
          <t>BF611241</t>
        </is>
      </c>
      <c r="E58" s="103" t="n">
        <v>1</v>
      </c>
      <c r="F58" s="103" t="n"/>
    </row>
    <row r="59">
      <c r="A59" s="105" t="n"/>
      <c r="B59" s="108" t="n"/>
      <c r="C59" s="108" t="n"/>
      <c r="D59" s="105" t="n"/>
      <c r="E59" s="103" t="n"/>
      <c r="F59" s="103" t="n"/>
    </row>
    <row r="60">
      <c r="A60" s="117" t="n">
        <v>19</v>
      </c>
      <c r="B60" s="138" t="inlineStr">
        <is>
          <t>جوانات نحاس</t>
        </is>
      </c>
      <c r="C60" s="138" t="inlineStr">
        <is>
          <t>GASKET - EXHAUST</t>
        </is>
      </c>
      <c r="D60" s="117" t="inlineStr">
        <is>
          <t>DJ101064</t>
        </is>
      </c>
      <c r="E60" s="148" t="n">
        <v>1</v>
      </c>
      <c r="F60" s="103" t="n"/>
    </row>
    <row r="61">
      <c r="A61" s="117" t="n"/>
      <c r="B61" s="138" t="inlineStr">
        <is>
          <t>مسامير شكمان</t>
        </is>
      </c>
      <c r="C61" s="138" t="inlineStr">
        <is>
          <t>BOLT FLANGED M10X1.25</t>
        </is>
      </c>
      <c r="D61" s="117" t="inlineStr">
        <is>
          <t>KADD10F0</t>
        </is>
      </c>
      <c r="E61" s="103" t="n">
        <v>2</v>
      </c>
      <c r="F61" s="103" t="n"/>
    </row>
    <row r="62">
      <c r="A62" s="117" t="n"/>
      <c r="B62" s="138" t="n"/>
      <c r="C62" s="138" t="inlineStr">
        <is>
          <t>NUT HEX FLANGED</t>
        </is>
      </c>
      <c r="D62" s="117" t="inlineStr">
        <is>
          <t>KCGD1010</t>
        </is>
      </c>
      <c r="E62" s="103" t="n">
        <v>2</v>
      </c>
      <c r="F62" s="103" t="n"/>
    </row>
    <row r="63">
      <c r="A63" s="117" t="n">
        <v>20</v>
      </c>
      <c r="B63" s="138" t="inlineStr">
        <is>
          <t>جبل باب ماتور</t>
        </is>
      </c>
      <c r="C63" s="130" t="inlineStr">
        <is>
          <t>STRING ENGINE ACC COVER STOPPER</t>
        </is>
      </c>
      <c r="D63" s="121" t="inlineStr">
        <is>
          <t>BF244009</t>
        </is>
      </c>
      <c r="E63" s="103" t="n">
        <v>2</v>
      </c>
      <c r="F63" s="103" t="n"/>
    </row>
    <row r="64">
      <c r="A64" s="105" t="n">
        <v>21</v>
      </c>
      <c r="B64" s="108" t="inlineStr">
        <is>
          <t>كونسولة</t>
        </is>
      </c>
      <c r="C64" s="121" t="inlineStr">
        <is>
          <t>COVER MIDDLE UPPER CNG</t>
        </is>
      </c>
      <c r="D64" s="121" t="inlineStr">
        <is>
          <t>BF182588</t>
        </is>
      </c>
      <c r="E64" s="103" t="n">
        <v>1</v>
      </c>
      <c r="F64" s="103" t="n"/>
    </row>
    <row r="65">
      <c r="A65" s="105" t="n">
        <v>22</v>
      </c>
      <c r="B65" s="108" t="inlineStr">
        <is>
          <t>دلايه موتور شمال</t>
        </is>
      </c>
      <c r="C65" s="108" t="inlineStr">
        <is>
          <t>COVER SIDE LH CNG</t>
        </is>
      </c>
      <c r="D65" s="105" t="inlineStr">
        <is>
          <t>BF182591</t>
        </is>
      </c>
      <c r="E65" s="103" t="n">
        <v>1</v>
      </c>
      <c r="F65" s="103" t="n"/>
    </row>
    <row r="66">
      <c r="A66" s="105" t="n"/>
      <c r="B66" s="108" t="inlineStr">
        <is>
          <t>دلايه موتور يمين</t>
        </is>
      </c>
      <c r="C66" s="144" t="inlineStr">
        <is>
          <t>COVER SIDE RH CNG</t>
        </is>
      </c>
      <c r="D66" s="143" t="inlineStr">
        <is>
          <t>BF182590</t>
        </is>
      </c>
      <c r="E66" s="103" t="n">
        <v>1</v>
      </c>
      <c r="F66" s="103" t="n"/>
    </row>
    <row r="67">
      <c r="A67" s="105" t="n">
        <v>23</v>
      </c>
      <c r="B67" s="108" t="inlineStr">
        <is>
          <t>كنترول</t>
        </is>
      </c>
      <c r="C67" s="108" t="inlineStr">
        <is>
          <t>ECU</t>
        </is>
      </c>
      <c r="D67" s="105" t="inlineStr">
        <is>
          <t>JP351439</t>
        </is>
      </c>
      <c r="E67" s="103" t="n">
        <v>1</v>
      </c>
      <c r="F67" s="103" t="n"/>
    </row>
    <row r="68">
      <c r="A68" s="127" t="n">
        <v>24</v>
      </c>
      <c r="B68" s="112" t="inlineStr">
        <is>
          <t>شبكة علوية</t>
        </is>
      </c>
      <c r="C68" s="112" t="inlineStr">
        <is>
          <t>Under repair</t>
        </is>
      </c>
      <c r="D68" s="127" t="n"/>
      <c r="E68" s="128" t="n">
        <v>1</v>
      </c>
      <c r="F68" s="103" t="n"/>
    </row>
  </sheetData>
  <conditionalFormatting sqref="D64">
    <cfRule type="duplicateValues" priority="2" dxfId="0"/>
  </conditionalFormatting>
  <conditionalFormatting sqref="D63">
    <cfRule type="duplicateValues" priority="3" dxfId="0"/>
  </conditionalFormatting>
  <conditionalFormatting sqref="D46">
    <cfRule type="duplicateValues" priority="4" dxfId="0"/>
  </conditionalFormatting>
  <conditionalFormatting sqref="D36">
    <cfRule type="duplicateValues" priority="5" dxfId="0"/>
  </conditionalFormatting>
  <conditionalFormatting sqref="D35">
    <cfRule type="duplicateValues" priority="6" dxfId="0"/>
  </conditionalFormatting>
  <conditionalFormatting sqref="D14:D26">
    <cfRule type="duplicateValues" priority="7" dxfId="0"/>
  </conditionalFormatting>
  <conditionalFormatting sqref="D8">
    <cfRule type="duplicateValues" priority="8" dxfId="0"/>
  </conditionalFormatting>
  <conditionalFormatting sqref="D31:D32">
    <cfRule type="duplicateValues" priority="9" dxfId="0"/>
  </conditionalFormatting>
  <conditionalFormatting sqref="D29:D30">
    <cfRule type="duplicateValues" priority="10" dxfId="0"/>
  </conditionalFormatting>
  <conditionalFormatting sqref="E4:E5">
    <cfRule type="duplicateValues" priority="11" dxfId="0"/>
  </conditionalFormatting>
  <conditionalFormatting sqref="E2:E3">
    <cfRule type="duplicateValues" priority="12" dxfId="0"/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"/>
  <sheetViews>
    <sheetView rightToLeft="0" tabSelected="0" zoomScale="60" zoomScaleNormal="60" workbookViewId="0">
      <pane ySplit="7" topLeftCell="A8" activePane="bottomLeft" state="frozen"/>
      <selection activeCell="A1" sqref="A1"/>
      <selection pane="bottomLeft" activeCell="A8" sqref="A8"/>
    </sheetView>
  </sheetViews>
  <sheetFormatPr baseColWidth="8" defaultColWidth="8.7109375" defaultRowHeight="15"/>
  <cols>
    <col width="20" customWidth="1" style="29" min="1" max="1"/>
    <col width="58" customWidth="1" style="29" min="2" max="2"/>
    <col width="52" bestFit="1" customWidth="1" style="29" min="3" max="3"/>
    <col width="35.42578125" customWidth="1" style="29" min="4" max="4"/>
    <col width="12.140625" customWidth="1" style="29" min="5" max="5"/>
    <col width="81.5703125" bestFit="1" customWidth="1" style="29" min="6" max="6"/>
    <col width="54" customWidth="1" style="29" min="7" max="7"/>
  </cols>
  <sheetData>
    <row r="1">
      <c r="A1" s="114" t="inlineStr">
        <is>
          <t>Chassis No.</t>
        </is>
      </c>
      <c r="B1" s="108" t="inlineStr">
        <is>
          <t>MD2A68CX7TWK01352</t>
        </is>
      </c>
      <c r="C1" s="103" t="n"/>
      <c r="D1" s="103" t="n"/>
      <c r="E1" s="103" t="n"/>
      <c r="F1" s="103" t="n"/>
    </row>
    <row r="2">
      <c r="A2" s="114" t="inlineStr">
        <is>
          <t>Engine No.</t>
        </is>
      </c>
      <c r="B2" s="154" t="inlineStr">
        <is>
          <t>BFXWTK20030</t>
        </is>
      </c>
      <c r="C2" s="144" t="n"/>
      <c r="D2" s="132" t="n"/>
      <c r="E2" s="132" t="n"/>
      <c r="F2" s="103" t="n"/>
    </row>
    <row r="3">
      <c r="A3" s="114" t="inlineStr">
        <is>
          <t>Operating Status</t>
        </is>
      </c>
      <c r="B3" s="154" t="inlineStr">
        <is>
          <t>Accident</t>
        </is>
      </c>
      <c r="C3" s="144" t="n"/>
      <c r="D3" s="132" t="n"/>
      <c r="E3" s="132" t="n"/>
      <c r="F3" s="103" t="n"/>
    </row>
    <row r="4">
      <c r="A4" s="114" t="inlineStr">
        <is>
          <t>Date</t>
        </is>
      </c>
      <c r="B4" s="154" t="inlineStr">
        <is>
          <t>25/10/2026</t>
        </is>
      </c>
      <c r="C4" s="132" t="n"/>
      <c r="D4" s="132" t="n"/>
      <c r="E4" s="132" t="n"/>
      <c r="F4" s="103" t="n"/>
    </row>
    <row r="5">
      <c r="A5" s="114" t="inlineStr">
        <is>
          <t>Color</t>
        </is>
      </c>
      <c r="B5" s="154" t="inlineStr">
        <is>
          <t>White</t>
        </is>
      </c>
      <c r="C5" s="132" t="n"/>
      <c r="D5" s="132" t="n"/>
      <c r="E5" s="132" t="n"/>
      <c r="F5" s="103" t="n"/>
    </row>
    <row r="6">
      <c r="A6" s="103" t="n"/>
      <c r="B6" s="103" t="n"/>
      <c r="C6" s="103" t="n"/>
      <c r="D6" s="103" t="n"/>
      <c r="E6" s="103" t="n"/>
      <c r="F6" s="103" t="n"/>
    </row>
    <row r="7">
      <c r="A7" s="102" t="inlineStr">
        <is>
          <t>No.</t>
        </is>
      </c>
      <c r="B7" s="102" t="inlineStr">
        <is>
          <t>Missing Part (Arabic)</t>
        </is>
      </c>
      <c r="C7" s="102" t="inlineStr">
        <is>
          <t>Part Name</t>
        </is>
      </c>
      <c r="D7" s="102" t="inlineStr">
        <is>
          <t>Part No.</t>
        </is>
      </c>
      <c r="E7" s="102" t="inlineStr">
        <is>
          <t>Quantity</t>
        </is>
      </c>
      <c r="F7" s="103" t="n"/>
    </row>
    <row r="8" ht="28.5" customHeight="1" s="29">
      <c r="A8" s="105" t="n">
        <v>1</v>
      </c>
      <c r="B8" s="108" t="inlineStr">
        <is>
          <t>كارتيره أمامي يمين علوية</t>
        </is>
      </c>
      <c r="C8" s="108" t="inlineStr">
        <is>
          <t>GUARD SPLASH FRONT RH UPPER</t>
        </is>
      </c>
      <c r="D8" s="105" t="inlineStr">
        <is>
          <t>BF185025</t>
        </is>
      </c>
      <c r="E8" s="105" t="n">
        <v>1</v>
      </c>
      <c r="F8" s="103" t="n"/>
    </row>
    <row r="9" ht="28.5" customHeight="1" s="29">
      <c r="A9" s="105" t="n"/>
      <c r="B9" s="108" t="inlineStr">
        <is>
          <t>كارتيره أمامي يمين سفلي</t>
        </is>
      </c>
      <c r="C9" s="123" t="inlineStr">
        <is>
          <t>GUARD SPLASH FRONT RH LOWER</t>
        </is>
      </c>
      <c r="D9" s="105" t="inlineStr">
        <is>
          <t>BF185026</t>
        </is>
      </c>
      <c r="E9" s="158" t="n">
        <v>1</v>
      </c>
      <c r="F9" s="103" t="n"/>
    </row>
    <row r="10" ht="28.5" customHeight="1" s="29">
      <c r="A10" s="105" t="n">
        <v>3</v>
      </c>
      <c r="B10" s="108" t="inlineStr">
        <is>
          <t>فانوس أمامي يمين</t>
        </is>
      </c>
      <c r="C10" s="123" t="inlineStr">
        <is>
          <t>HEAD LAMP RH ASYM BEAM LHD 60 55W</t>
        </is>
      </c>
      <c r="D10" s="105" t="inlineStr">
        <is>
          <t>BF401136</t>
        </is>
      </c>
      <c r="E10" s="103" t="n">
        <v>1</v>
      </c>
      <c r="F10" s="103" t="n"/>
    </row>
    <row r="11" ht="28.5" customHeight="1" s="29">
      <c r="A11" s="105" t="n"/>
      <c r="B11" s="108" t="inlineStr">
        <is>
          <t>فانوس أمامي شمال</t>
        </is>
      </c>
      <c r="C11" s="123" t="inlineStr">
        <is>
          <t>HEAD LAMP LH ASYM BEAM LHD 60 55W</t>
        </is>
      </c>
      <c r="D11" s="105" t="inlineStr">
        <is>
          <t>BF401135</t>
        </is>
      </c>
      <c r="E11" s="103" t="n">
        <v>1</v>
      </c>
      <c r="F11" s="103" t="n"/>
    </row>
    <row r="12">
      <c r="A12" s="117" t="n">
        <v>4</v>
      </c>
      <c r="B12" s="118" t="inlineStr">
        <is>
          <t>مساحة</t>
        </is>
      </c>
      <c r="C12" s="138" t="inlineStr">
        <is>
          <t>WIPER ASSEMBLY RE 43 LHD</t>
        </is>
      </c>
      <c r="D12" s="117" t="inlineStr">
        <is>
          <t>BF187009</t>
        </is>
      </c>
      <c r="E12" s="103" t="n">
        <v>1</v>
      </c>
      <c r="F12" s="103" t="n"/>
    </row>
    <row r="13" ht="28.5" customHeight="1" s="29">
      <c r="A13" s="117" t="n">
        <v>5</v>
      </c>
      <c r="B13" s="118" t="inlineStr">
        <is>
          <t>مقص امامي يمين</t>
        </is>
      </c>
      <c r="C13" s="123" t="inlineStr">
        <is>
          <t>ASSEMBLY ARM CONTROL LOWER RH</t>
        </is>
      </c>
      <c r="D13" s="117" t="inlineStr">
        <is>
          <t>BF121112</t>
        </is>
      </c>
      <c r="E13" s="103" t="n">
        <v>1</v>
      </c>
      <c r="F13" s="103" t="n"/>
    </row>
    <row r="14">
      <c r="A14" s="105" t="n">
        <v>6</v>
      </c>
      <c r="B14" s="108" t="inlineStr">
        <is>
          <t>اكصدام</t>
        </is>
      </c>
      <c r="C14" s="121" t="inlineStr">
        <is>
          <t>BUMPER FRONT</t>
        </is>
      </c>
      <c r="D14" s="121" t="inlineStr">
        <is>
          <t>BF182006</t>
        </is>
      </c>
      <c r="E14" s="103" t="n">
        <v>1</v>
      </c>
      <c r="F14" s="103" t="n"/>
    </row>
    <row r="15">
      <c r="A15" s="105" t="n"/>
      <c r="B15" s="112" t="inlineStr">
        <is>
          <t>حامل نمرة</t>
        </is>
      </c>
      <c r="C15" s="112" t="n"/>
      <c r="D15" s="127" t="n"/>
      <c r="E15" s="128" t="n">
        <v>1</v>
      </c>
      <c r="F15" s="103" t="n"/>
    </row>
    <row r="16">
      <c r="A16" s="105" t="n">
        <v>7</v>
      </c>
      <c r="B16" s="112" t="inlineStr">
        <is>
          <t>عتبة باب أمامي يمين</t>
        </is>
      </c>
      <c r="C16" s="112" t="n"/>
      <c r="D16" s="127" t="n"/>
      <c r="E16" s="128" t="n">
        <v>1</v>
      </c>
      <c r="F16" s="103" t="n"/>
    </row>
    <row r="17">
      <c r="A17" s="105" t="n"/>
      <c r="B17" s="112" t="inlineStr">
        <is>
          <t>عتبة باب أمامي شمال</t>
        </is>
      </c>
      <c r="C17" s="112" t="n"/>
      <c r="D17" s="127" t="n"/>
      <c r="E17" s="128" t="n">
        <v>1</v>
      </c>
      <c r="F17" s="103" t="n"/>
    </row>
    <row r="18">
      <c r="A18" s="117" t="n">
        <v>8</v>
      </c>
      <c r="B18" s="118" t="inlineStr">
        <is>
          <t>ولاعه</t>
        </is>
      </c>
      <c r="C18" s="118" t="inlineStr">
        <is>
          <t>CHARGER MOBILE</t>
        </is>
      </c>
      <c r="D18" s="117" t="inlineStr">
        <is>
          <t>AL201100</t>
        </is>
      </c>
      <c r="E18" s="103" t="n">
        <v>1</v>
      </c>
      <c r="F18" s="103" t="n"/>
    </row>
    <row r="19">
      <c r="A19" s="117" t="n">
        <v>9</v>
      </c>
      <c r="B19" s="112" t="inlineStr">
        <is>
          <t>حساس كلاكس</t>
        </is>
      </c>
      <c r="C19" s="112" t="n"/>
      <c r="D19" s="127" t="inlineStr">
        <is>
          <t>نعم</t>
        </is>
      </c>
      <c r="E19" s="128" t="n">
        <v>1</v>
      </c>
      <c r="F19" s="103" t="n"/>
    </row>
    <row r="20" ht="28.5" customHeight="1" s="29">
      <c r="A20" s="105" t="n">
        <v>10</v>
      </c>
      <c r="B20" s="159" t="inlineStr">
        <is>
          <t>مفصلة باب أمامي يمين</t>
        </is>
      </c>
      <c r="C20" s="160" t="inlineStr">
        <is>
          <t>HINGE ASSEMBLY DOOR FRONT LH</t>
        </is>
      </c>
      <c r="D20" s="161" t="inlineStr">
        <is>
          <t>BF247026</t>
        </is>
      </c>
      <c r="E20" s="162" t="n">
        <v>1</v>
      </c>
      <c r="F20" s="162" t="inlineStr">
        <is>
          <t>The catalog only has the code for the LEFT hinge - please review</t>
        </is>
      </c>
    </row>
    <row r="21" ht="28.5" customHeight="1" s="29">
      <c r="A21" s="105" t="n"/>
      <c r="B21" s="163" t="n"/>
      <c r="C21" s="160" t="inlineStr">
        <is>
          <t>ASSEMBLY HINGE RR DOOR LH BTM</t>
        </is>
      </c>
      <c r="D21" s="164" t="inlineStr">
        <is>
          <t>BF247032</t>
        </is>
      </c>
      <c r="E21" s="165" t="n">
        <v>1</v>
      </c>
      <c r="F21" s="162" t="inlineStr">
        <is>
          <t>The catalog only has the code for the LEFT hinge - please review</t>
        </is>
      </c>
    </row>
    <row r="22">
      <c r="A22" s="119" t="n">
        <v>11</v>
      </c>
      <c r="B22" s="120" t="inlineStr">
        <is>
          <t>كالون باب امامي شمال</t>
        </is>
      </c>
      <c r="C22" s="120" t="n"/>
      <c r="D22" s="119" t="n"/>
      <c r="E22" s="139" t="n">
        <v>1</v>
      </c>
      <c r="F22" s="103" t="n"/>
    </row>
    <row r="23" ht="201.75" customHeight="1" s="29">
      <c r="A23" s="105" t="n"/>
      <c r="B23" s="163" t="inlineStr">
        <is>
          <t>طقم كونتاكت</t>
        </is>
      </c>
      <c r="C23" s="163" t="inlineStr">
        <is>
          <t>KIT SET LOCK LHD</t>
        </is>
      </c>
      <c r="D23" s="164" t="inlineStr">
        <is>
          <t>36BF0024</t>
        </is>
      </c>
      <c r="E23" s="162" t="n">
        <v>1</v>
      </c>
      <c r="F23" s="162" t="inlineStr">
        <is>
          <t>A right-side contact lock cylinder is available in the store and can be modified - please review. The problem is in the front-left door key lock cylinder</t>
        </is>
      </c>
    </row>
    <row r="24">
      <c r="A24" s="105" t="n">
        <v>12</v>
      </c>
      <c r="B24" s="108" t="inlineStr">
        <is>
          <t>حزام خلفي</t>
        </is>
      </c>
      <c r="C24" s="121" t="inlineStr">
        <is>
          <t>BELT ASSEMBLY SEAT REAR</t>
        </is>
      </c>
      <c r="D24" s="121" t="inlineStr">
        <is>
          <t>BF182635</t>
        </is>
      </c>
      <c r="E24" s="103" t="n">
        <v>1</v>
      </c>
      <c r="F24" s="103" t="n"/>
    </row>
    <row r="25">
      <c r="A25" s="105" t="n"/>
      <c r="B25" s="108" t="inlineStr">
        <is>
          <t>حزام أمامي</t>
        </is>
      </c>
      <c r="C25" s="121" t="inlineStr">
        <is>
          <t>BELT ASSEMBLY SEAT FRONT</t>
        </is>
      </c>
      <c r="D25" s="121" t="inlineStr">
        <is>
          <t>BF182634</t>
        </is>
      </c>
      <c r="E25" s="103" t="n">
        <v>1</v>
      </c>
      <c r="F25" s="103" t="n"/>
    </row>
    <row r="26">
      <c r="A26" s="105" t="n"/>
      <c r="B26" s="121" t="inlineStr">
        <is>
          <t>فيبرة حزام خلفى يمين</t>
        </is>
      </c>
      <c r="C26" s="121" t="inlineStr">
        <is>
          <t>SEAT BELT ELR REAR COVER RH</t>
        </is>
      </c>
      <c r="D26" s="121" t="inlineStr">
        <is>
          <t>BF182624</t>
        </is>
      </c>
      <c r="E26" s="103" t="n">
        <v>1</v>
      </c>
      <c r="F26" s="103" t="n"/>
    </row>
    <row r="27">
      <c r="A27" s="105" t="n"/>
      <c r="B27" s="121" t="inlineStr">
        <is>
          <t>فيبرة حزام خلفى شمال</t>
        </is>
      </c>
      <c r="C27" s="121" t="inlineStr">
        <is>
          <t>SEAT BELT ELR REAR COVER LH</t>
        </is>
      </c>
      <c r="D27" s="121" t="inlineStr">
        <is>
          <t>BF182625</t>
        </is>
      </c>
      <c r="E27" s="103" t="n">
        <v>1</v>
      </c>
      <c r="F27" s="103" t="n"/>
    </row>
    <row r="28">
      <c r="A28" s="127" t="n">
        <v>13</v>
      </c>
      <c r="B28" s="112" t="inlineStr">
        <is>
          <t>فبرة مثلث يمين</t>
        </is>
      </c>
      <c r="C28" s="112" t="n"/>
      <c r="D28" s="127" t="n"/>
      <c r="E28" s="128" t="n">
        <v>1</v>
      </c>
      <c r="F28" s="128" t="n"/>
    </row>
    <row r="29" ht="238.5" customHeight="1" s="29">
      <c r="A29" s="127" t="n">
        <v>13</v>
      </c>
      <c r="B29" s="112" t="inlineStr">
        <is>
          <t>فبرة مثلث شمال</t>
        </is>
      </c>
      <c r="C29" s="112" t="n"/>
      <c r="D29" s="127" t="n"/>
      <c r="E29" s="128" t="n">
        <v>1</v>
      </c>
      <c r="F29" s="128" t="n"/>
    </row>
    <row r="30" ht="26.25" customHeight="1" s="29">
      <c r="A30" s="105" t="n">
        <v>14</v>
      </c>
      <c r="B30" s="108" t="inlineStr">
        <is>
          <t>باب خلفي يمين كامل + فريم + فبرة زجاج + جوانة</t>
        </is>
      </c>
      <c r="C30" s="133" t="inlineStr">
        <is>
          <t>ASSEMBLY REAR DOOR COMP RH WHITE</t>
        </is>
      </c>
      <c r="D30" s="103" t="inlineStr">
        <is>
          <t>52BF0102</t>
        </is>
      </c>
      <c r="E30" s="103" t="n">
        <v>1</v>
      </c>
      <c r="F30" s="103" t="n"/>
    </row>
    <row r="31" ht="248.25" customHeight="1" s="29">
      <c r="A31" s="117" t="n">
        <v>15</v>
      </c>
      <c r="B31" s="166" t="inlineStr">
        <is>
          <t>باب خلفي شمال</t>
        </is>
      </c>
      <c r="C31" s="135" t="n"/>
      <c r="D31" s="167" t="n"/>
      <c r="E31" s="126" t="n"/>
      <c r="F31" s="126" t="inlineStr">
        <is>
          <t>No assembled part code for it (the door is available but was damaged in an accident and a repair is being attempted)</t>
        </is>
      </c>
    </row>
    <row r="32">
      <c r="A32" s="105" t="n">
        <v>16</v>
      </c>
      <c r="B32" s="108" t="inlineStr">
        <is>
          <t>كابترة خلفي يمين خلفي</t>
        </is>
      </c>
      <c r="C32" s="168" t="inlineStr">
        <is>
          <t>GUARD SPLASH REAR RH REAR</t>
        </is>
      </c>
      <c r="D32" s="105" t="inlineStr">
        <is>
          <t>BF185078</t>
        </is>
      </c>
      <c r="E32" s="148" t="n">
        <v>1</v>
      </c>
      <c r="F32" s="103" t="n"/>
    </row>
    <row r="33">
      <c r="A33" s="105" t="n">
        <v>17</v>
      </c>
      <c r="B33" s="108" t="inlineStr">
        <is>
          <t>كابترة خلفي شمال خلفي</t>
        </is>
      </c>
      <c r="C33" s="108" t="inlineStr">
        <is>
          <t>GUARD SPLASH REAR LH REAR</t>
        </is>
      </c>
      <c r="D33" s="105" t="inlineStr">
        <is>
          <t>BF185081</t>
        </is>
      </c>
      <c r="E33" s="148" t="n">
        <v>1</v>
      </c>
      <c r="F33" s="103" t="n"/>
    </row>
    <row r="34">
      <c r="A34" s="105" t="n">
        <v>18</v>
      </c>
      <c r="B34" s="108" t="inlineStr">
        <is>
          <t>اكصدام خلفي يمين</t>
        </is>
      </c>
      <c r="C34" s="108" t="inlineStr">
        <is>
          <t>BUMPER REAR LH</t>
        </is>
      </c>
      <c r="D34" s="105" t="inlineStr">
        <is>
          <t>BF182008</t>
        </is>
      </c>
      <c r="E34" s="103" t="n">
        <v>1</v>
      </c>
      <c r="F34" s="103" t="n"/>
    </row>
    <row r="35">
      <c r="A35" s="105" t="n"/>
      <c r="B35" s="108" t="inlineStr">
        <is>
          <t>اكصدام خلفي شمال</t>
        </is>
      </c>
      <c r="C35" s="108" t="inlineStr">
        <is>
          <t>BUMPER REAR RH</t>
        </is>
      </c>
      <c r="D35" s="105" t="inlineStr">
        <is>
          <t>BF182009</t>
        </is>
      </c>
      <c r="E35" s="103" t="n">
        <v>1</v>
      </c>
      <c r="F35" s="103" t="n"/>
    </row>
    <row r="36">
      <c r="A36" s="105" t="n">
        <v>19</v>
      </c>
      <c r="B36" s="108" t="inlineStr">
        <is>
          <t>دلايه خلفي شمال</t>
        </is>
      </c>
      <c r="C36" s="169" t="inlineStr">
        <is>
          <t>MUDFLAP FRONT LH</t>
        </is>
      </c>
      <c r="D36" s="169" t="inlineStr">
        <is>
          <t>BF185072</t>
        </is>
      </c>
      <c r="E36" s="103" t="n">
        <v>1</v>
      </c>
      <c r="F36" s="103" t="n"/>
    </row>
    <row r="37">
      <c r="A37" s="105" t="n"/>
      <c r="B37" s="170" t="inlineStr">
        <is>
          <t>دلايه خلفي يمين</t>
        </is>
      </c>
      <c r="C37" s="121" t="inlineStr">
        <is>
          <t>MUDFLAP REAR RH</t>
        </is>
      </c>
      <c r="D37" s="121" t="inlineStr">
        <is>
          <t>BF185068</t>
        </is>
      </c>
      <c r="E37" s="103" t="n">
        <v>1</v>
      </c>
      <c r="F37" s="103" t="n"/>
    </row>
    <row r="38">
      <c r="A38" s="105" t="n">
        <v>20</v>
      </c>
      <c r="B38" s="108" t="inlineStr">
        <is>
          <t>دلايه موتور شمال</t>
        </is>
      </c>
      <c r="C38" s="108" t="inlineStr">
        <is>
          <t>COVER SIDE LH CNG</t>
        </is>
      </c>
      <c r="D38" s="105" t="inlineStr">
        <is>
          <t>BF182591</t>
        </is>
      </c>
      <c r="E38" s="103" t="n">
        <v>1</v>
      </c>
      <c r="F38" s="103" t="n"/>
    </row>
    <row r="39">
      <c r="A39" s="105" t="n"/>
      <c r="B39" s="108" t="inlineStr">
        <is>
          <t>دلايه موتور يمين</t>
        </is>
      </c>
      <c r="C39" s="144" t="inlineStr">
        <is>
          <t>COVER SIDE RH CNG</t>
        </is>
      </c>
      <c r="D39" s="143" t="inlineStr">
        <is>
          <t>BF182590</t>
        </is>
      </c>
      <c r="E39" s="103" t="n">
        <v>1</v>
      </c>
      <c r="F39" s="103" t="n"/>
    </row>
    <row r="40">
      <c r="A40" s="117" t="n">
        <v>21</v>
      </c>
      <c r="B40" s="118" t="inlineStr">
        <is>
          <t>مرايا شمال</t>
        </is>
      </c>
      <c r="C40" s="108" t="inlineStr">
        <is>
          <t>ORVM LH</t>
        </is>
      </c>
      <c r="D40" s="105" t="inlineStr">
        <is>
          <t>BF184637</t>
        </is>
      </c>
      <c r="E40" s="103" t="n">
        <v>1</v>
      </c>
      <c r="F40" s="103" t="n"/>
    </row>
    <row r="41">
      <c r="A41" s="127" t="n">
        <v>22</v>
      </c>
      <c r="B41" s="112" t="inlineStr">
        <is>
          <t>شبكة علوية</t>
        </is>
      </c>
      <c r="C41" s="112" t="inlineStr">
        <is>
          <t>Under repair</t>
        </is>
      </c>
      <c r="D41" s="127" t="n"/>
      <c r="E41" s="128" t="n">
        <v>1</v>
      </c>
      <c r="F41" s="103" t="n"/>
    </row>
  </sheetData>
  <conditionalFormatting sqref="D36:D37">
    <cfRule type="duplicateValues" priority="2" dxfId="0"/>
  </conditionalFormatting>
  <conditionalFormatting sqref="D26:D27">
    <cfRule type="duplicateValues" priority="3" dxfId="0"/>
  </conditionalFormatting>
  <conditionalFormatting sqref="D24:D25">
    <cfRule type="duplicateValues" priority="4" dxfId="0"/>
  </conditionalFormatting>
  <conditionalFormatting sqref="E4:E5">
    <cfRule type="duplicateValues" priority="5" dxfId="0"/>
  </conditionalFormatting>
  <conditionalFormatting sqref="E2:E3">
    <cfRule type="duplicateValues" priority="6" dxfId="0"/>
  </conditionalFormatting>
  <conditionalFormatting sqref="D14">
    <cfRule type="duplicateValues" priority="7" dxfId="0"/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2026-10-25T21:27:59Z</dcterms:created>
  <dcterms:modified xmlns:dcterms="http://purl.org/dc/terms/" xmlns:xsi="http://www.w3.org/2001/XMLSchema-instance" xsi:type="dcterms:W3CDTF">2026-10-28T10:28:20Z</dcterms:modified>
  <cp:lastModifiedBy>Youssef Ashraf Ahmed Atwa</cp:lastModifiedBy>
  <cp:revision>0</cp:revision>
</cp:coreProperties>
</file>